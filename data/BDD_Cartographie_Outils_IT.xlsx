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ouyguesconstruction-my.sharepoint.com/personal/a_molia_bouygues-construction_com/Documents/Documents/Reporting IT/"/>
    </mc:Choice>
  </mc:AlternateContent>
  <xr:revisionPtr revIDLastSave="1841" documentId="11_B0FD774C819CABADEE1E4E8BF442D1EF3FEF0EEF" xr6:coauthVersionLast="47" xr6:coauthVersionMax="47" xr10:uidLastSave="{794A10E5-5375-4D24-B25D-8D5C0BBEA10D}"/>
  <bookViews>
    <workbookView xWindow="-120" yWindow="-120" windowWidth="29040" windowHeight="15720" xr2:uid="{00000000-000D-0000-FFFF-FFFF00000000}"/>
  </bookViews>
  <sheets>
    <sheet name="📋 Collecte Entretiens" sheetId="1" r:id="rId1"/>
    <sheet name="📝 Guide Entretien" sheetId="4" r:id="rId2"/>
    <sheet name="📊 Tableau de Bord" sheetId="3" r:id="rId3"/>
    <sheet name="🔍 Fiche Outil Détaillé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1" l="1"/>
  <c r="B4" i="3" s="1"/>
  <c r="A42" i="1"/>
  <c r="B9" i="3"/>
  <c r="B8" i="3"/>
  <c r="A29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G103" i="1"/>
  <c r="B5" i="3" s="1"/>
  <c r="H3" i="3" a="1"/>
  <c r="H3" i="3" s="1"/>
  <c r="B7" i="3"/>
  <c r="B6" i="3"/>
  <c r="I3" i="3" a="1"/>
  <c r="I3" i="3" s="1"/>
  <c r="J3" i="3" s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38" i="1"/>
  <c r="A77" i="1"/>
  <c r="A78" i="1"/>
  <c r="A79" i="1"/>
  <c r="A80" i="1"/>
  <c r="A81" i="1"/>
  <c r="A82" i="1"/>
  <c r="A83" i="1"/>
  <c r="A84" i="1"/>
  <c r="A85" i="1"/>
  <c r="A86" i="1"/>
  <c r="A87" i="1"/>
  <c r="A48" i="1"/>
  <c r="A49" i="1"/>
  <c r="A50" i="1"/>
  <c r="A43" i="1"/>
  <c r="A44" i="1"/>
  <c r="A45" i="1"/>
  <c r="A46" i="1"/>
  <c r="A47" i="1"/>
  <c r="A36" i="1"/>
  <c r="A37" i="1"/>
  <c r="A76" i="1"/>
  <c r="A39" i="1"/>
  <c r="A40" i="1"/>
  <c r="A41" i="1"/>
  <c r="A35" i="1"/>
  <c r="A34" i="1"/>
  <c r="A33" i="1"/>
  <c r="A32" i="1"/>
  <c r="A31" i="1"/>
  <c r="A30" i="1"/>
  <c r="A28" i="1"/>
  <c r="A27" i="1"/>
  <c r="A26" i="1"/>
  <c r="A25" i="1"/>
  <c r="A24" i="1"/>
  <c r="A23" i="1"/>
  <c r="A22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<sst xmlns="http://schemas.openxmlformats.org/spreadsheetml/2006/main" count="1219" uniqueCount="483">
  <si>
    <t>CARTOGRAPHIE DES OUTILS IT – CHANTIER BOUYGUES CONSTRUCTION</t>
  </si>
  <si>
    <t>N°</t>
  </si>
  <si>
    <t>Date
Entretien</t>
  </si>
  <si>
    <t>Service /
Département</t>
  </si>
  <si>
    <t>Interlocuteur</t>
  </si>
  <si>
    <t>Nom de l'Outil</t>
  </si>
  <si>
    <t>Usage /
Pourquoi</t>
  </si>
  <si>
    <t>Interne /
Externe</t>
  </si>
  <si>
    <t>Éditeur /
Fournisseur</t>
  </si>
  <si>
    <t>Alimentation
(Manuel/Auto)</t>
  </si>
  <si>
    <t>Fréquence
d'utilisation</t>
  </si>
  <si>
    <t>Alimenté
par qui</t>
  </si>
  <si>
    <t>Alimente
quel outil</t>
  </si>
  <si>
    <t>Interfaces /
Connexions</t>
  </si>
  <si>
    <t>Niveau
Maturité</t>
  </si>
  <si>
    <t>Commentaires /
Points d'attention</t>
  </si>
  <si>
    <t>TOTAL OUTILS IDENTIFIÉS</t>
  </si>
  <si>
    <t>FICHE DÉTAILLÉE – OUTIL IT</t>
  </si>
  <si>
    <t>IDENTIFICATION</t>
  </si>
  <si>
    <t>Nom de l'outil</t>
  </si>
  <si>
    <t>Éditeur / Fournisseur</t>
  </si>
  <si>
    <t>Version</t>
  </si>
  <si>
    <t>Site web / Documentation</t>
  </si>
  <si>
    <t>USAGE</t>
  </si>
  <si>
    <t>Fonction principale</t>
  </si>
  <si>
    <t>Service(s) utilisateur(s)</t>
  </si>
  <si>
    <t>Nombre d'utilisateurs</t>
  </si>
  <si>
    <t>Contexte d'utilisation</t>
  </si>
  <si>
    <t>TECHNIQUE</t>
  </si>
  <si>
    <t>Interne ou Externe</t>
  </si>
  <si>
    <t>Hébergement (Cloud/On-premise)</t>
  </si>
  <si>
    <t>Interfaçage / API</t>
  </si>
  <si>
    <t>DONNÉES</t>
  </si>
  <si>
    <t>Mode d'alimentation</t>
  </si>
  <si>
    <t>Fréquence de mise à jour</t>
  </si>
  <si>
    <t>Responsable de la saisie</t>
  </si>
  <si>
    <t>Données en entrée</t>
  </si>
  <si>
    <t>Données en sortie</t>
  </si>
  <si>
    <t>Outil(s) alimenté(s)</t>
  </si>
  <si>
    <t>ÉVALUATION</t>
  </si>
  <si>
    <t>Niveau de maturité</t>
  </si>
  <si>
    <t>Points forts</t>
  </si>
  <si>
    <t>Points faibles / Risques</t>
  </si>
  <si>
    <t>Évolutions souhaitées</t>
  </si>
  <si>
    <t>Commentaires libres</t>
  </si>
  <si>
    <t>TABLEAU DE BORD – AVANCEMENT CARTOGRAPHIE</t>
  </si>
  <si>
    <t>Indicateur</t>
  </si>
  <si>
    <t>Valeur</t>
  </si>
  <si>
    <t>Source</t>
  </si>
  <si>
    <t>Nb entretiens réalisés</t>
  </si>
  <si>
    <t>Feuille Collecte</t>
  </si>
  <si>
    <t>Nb outils identifiés</t>
  </si>
  <si>
    <t>Nb outils internes</t>
  </si>
  <si>
    <t>Nb outils externes</t>
  </si>
  <si>
    <t>Nb outils alimentation manuelle</t>
  </si>
  <si>
    <t>Nb outils alimentation automatique</t>
  </si>
  <si>
    <t>GUIDE D'ENTRETIEN – CARTOGRAPHIE OUTILS IT CHANTIER</t>
  </si>
  <si>
    <t>🔑 = Question prioritaire à ne pas manquer</t>
  </si>
  <si>
    <t>INTRODUCTION</t>
  </si>
  <si>
    <t>Présentation</t>
  </si>
  <si>
    <t>Durée estimée : 30-45 min</t>
  </si>
  <si>
    <t>Q1</t>
  </si>
  <si>
    <t>🔑 Quels outils / logiciels utilisez-vous au quotidien dans votre activité ?</t>
  </si>
  <si>
    <t>Lister tous les outils</t>
  </si>
  <si>
    <t>Q2</t>
  </si>
  <si>
    <t>Depuis combien de temps utilisez-vous cet outil ?</t>
  </si>
  <si>
    <t>Date de mise en place</t>
  </si>
  <si>
    <t>Q3</t>
  </si>
  <si>
    <t>🔑 À quoi vous sert cet outil concrètement ? Quelle est son utilité principale ?</t>
  </si>
  <si>
    <t>Comprendre le cas d'usage métier</t>
  </si>
  <si>
    <t>Q4</t>
  </si>
  <si>
    <t>Combien de personnes l'utilisent dans votre équipe / sur le chantier ?</t>
  </si>
  <si>
    <t>Volumétrie utilisateurs</t>
  </si>
  <si>
    <t>Q5</t>
  </si>
  <si>
    <t>🔑 Est-ce un outil développé en interne par Bouygues ou fourni par un éditeur externe ?</t>
  </si>
  <si>
    <t>Interne / Externe</t>
  </si>
  <si>
    <t>Q6</t>
  </si>
  <si>
    <t>L'outil est-il hébergé en local ou dans le cloud ?</t>
  </si>
  <si>
    <t>Architecture technique</t>
  </si>
  <si>
    <t>ALIMENTATION DES DONNÉES</t>
  </si>
  <si>
    <t>Q7</t>
  </si>
  <si>
    <t>🔑 Comment les données sont-elles saisies dans l'outil ? Manuellement ou automatiquement ?</t>
  </si>
  <si>
    <t>Q8</t>
  </si>
  <si>
    <t>🔑 Qui saisit / alimente les données ? Quel profil ?</t>
  </si>
  <si>
    <t>Responsable alimentation</t>
  </si>
  <si>
    <t>Q9</t>
  </si>
  <si>
    <t>🔑 À quelle fréquence les données sont-elles mises à jour ?</t>
  </si>
  <si>
    <t>Quotidien / hebdo / mensuel...</t>
  </si>
  <si>
    <t>INTERCONNEXIONS</t>
  </si>
  <si>
    <t>Q10</t>
  </si>
  <si>
    <t>🔑 Cet outil reçoit-il des données d'un autre outil ? Lequel ?</t>
  </si>
  <si>
    <t>Flux entrants</t>
  </si>
  <si>
    <t>Q11</t>
  </si>
  <si>
    <t>🔑 Cet outil envoie-t-il des données vers un autre outil ? Lequel ?</t>
  </si>
  <si>
    <t>Flux sortants</t>
  </si>
  <si>
    <t>Q12</t>
  </si>
  <si>
    <t>Y a-t-il des exports réguliers (Excel, PDF, API...) ? Vers qui ?</t>
  </si>
  <si>
    <t>Format des échanges</t>
  </si>
  <si>
    <t>Q13</t>
  </si>
  <si>
    <t>Êtes-vous satisfait de cet outil ? Quels sont ses points forts ?</t>
  </si>
  <si>
    <t>Satisfaction</t>
  </si>
  <si>
    <t>Q14</t>
  </si>
  <si>
    <t>Quels sont les problèmes rencontrés ou les manques ?</t>
  </si>
  <si>
    <t>Q15</t>
  </si>
  <si>
    <t>Avez-vous des évolutions ou remplacements prévus ?</t>
  </si>
  <si>
    <t>Roadmap</t>
  </si>
  <si>
    <t>CLÔTURE</t>
  </si>
  <si>
    <t>Conclusion</t>
  </si>
  <si>
    <t>Y a-t-il d'autres outils que vous utilisez et que nous n'avons pas abordés ? Avez-vous des collègues à qui je devrais parler ?</t>
  </si>
  <si>
    <t>Identifier d'autres interlocuteurs</t>
  </si>
  <si>
    <r>
      <t xml:space="preserve">Bonjour, je suis [prénom], stagiaire CFI au sein de Bouygues Construction. Cartographie des outils IT utilisés sur le chantier afin d'en avoir une </t>
    </r>
    <r>
      <rPr>
        <b/>
        <sz val="9"/>
        <color rgb="FF000000"/>
        <rFont val="Arial"/>
        <family val="2"/>
      </rPr>
      <t>vision globale</t>
    </r>
    <r>
      <rPr>
        <sz val="9"/>
        <color rgb="FF000000"/>
        <rFont val="Arial"/>
        <family val="2"/>
      </rPr>
      <t xml:space="preserve"> + </t>
    </r>
    <r>
      <rPr>
        <b/>
        <sz val="9"/>
        <color rgb="FF000000"/>
        <rFont val="Arial"/>
        <family val="2"/>
      </rPr>
      <t>interconnexions.</t>
    </r>
  </si>
  <si>
    <t xml:space="preserve">Julie  </t>
  </si>
  <si>
    <t>BATIS</t>
  </si>
  <si>
    <t>Tisseo</t>
  </si>
  <si>
    <t>Alimenté par Julie, les sous traitants, tisseo, m.o, attestation légal (connecté en temps réel)</t>
  </si>
  <si>
    <t xml:space="preserve">Assez mature maintenant </t>
  </si>
  <si>
    <t xml:space="preserve">Direction </t>
  </si>
  <si>
    <t>Docusign</t>
  </si>
  <si>
    <t xml:space="preserve">Circuit de validation en interne avant signature </t>
  </si>
  <si>
    <t xml:space="preserve">Interne </t>
  </si>
  <si>
    <t>Quotidien</t>
  </si>
  <si>
    <t>CWT</t>
  </si>
  <si>
    <t>Plateforme de voyage adapté à la politique voyage de Bouygues</t>
  </si>
  <si>
    <t>Hebdomadaire</t>
  </si>
  <si>
    <t xml:space="preserve">Julie alimente au niveau de la resa, après il y a un circuit de validation(envoyé à un supérieur hiérarchique)=&gt; politique voyage  </t>
  </si>
  <si>
    <t>Relier à un autre logica bouyguesiel de compt</t>
  </si>
  <si>
    <t>Tableau</t>
  </si>
  <si>
    <t xml:space="preserve">Commande traiteur </t>
  </si>
  <si>
    <t xml:space="preserve">Déclaration d'incidents </t>
  </si>
  <si>
    <t>Ponctuel</t>
  </si>
  <si>
    <t>Tout le monde (Bouygues)</t>
  </si>
  <si>
    <t xml:space="preserve">Contrats avenant, ordre de service, courrier </t>
  </si>
  <si>
    <t xml:space="preserve">Sharepoint </t>
  </si>
  <si>
    <t xml:space="preserve">Courrier </t>
  </si>
  <si>
    <t>Manque d'ergonomie sur le tab de co (quel ST concerné + Numéro contrat)</t>
  </si>
  <si>
    <t>3 – Mature</t>
  </si>
  <si>
    <t>4 – Optimisé</t>
  </si>
  <si>
    <t>E-checking</t>
  </si>
  <si>
    <t>1 – Basique</t>
  </si>
  <si>
    <t xml:space="preserve">Julie, Valérie </t>
  </si>
  <si>
    <t xml:space="preserve">Pour les  entreprises, Julie créer l'acces de l'entreprise(ST, prestataire ) </t>
  </si>
  <si>
    <t xml:space="preserve">Qualité </t>
  </si>
  <si>
    <t xml:space="preserve">Alexandre </t>
  </si>
  <si>
    <t xml:space="preserve">Quickconnect </t>
  </si>
  <si>
    <t>Interne</t>
  </si>
  <si>
    <t>Tout le monde(travaux, prestatire, sous traitants,</t>
  </si>
  <si>
    <t xml:space="preserve">Acheter du matériel </t>
  </si>
  <si>
    <t>Mensuel</t>
  </si>
  <si>
    <t xml:space="preserve">Constistution du Doe =&gt; via le workflow =&gt; fiche de contrôle(defintion des points d'arrets, plan de contrôle ,  deversement sur le sharepoint, verification par les conducteurs de travaux)  </t>
  </si>
  <si>
    <t xml:space="preserve">Outils sous exploité =&gt; indicateur de suivi </t>
  </si>
  <si>
    <t>BYCN</t>
  </si>
  <si>
    <t>BYCN(sharepoint)</t>
  </si>
  <si>
    <t>TCD</t>
  </si>
  <si>
    <t xml:space="preserve">Pas mature =&gt; plein de bug, niveau connexion ok, </t>
  </si>
  <si>
    <t>Mezzoteam</t>
  </si>
  <si>
    <t xml:space="preserve">Lever de reserve(mis à disposition pour les prochain prestataire, code couleur, visuel plus parlant , suivi dans le temps, position dans l'espace ) </t>
  </si>
  <si>
    <t>Equipe travaux, Qualité, MOE</t>
  </si>
  <si>
    <t xml:space="preserve">Gestion documentaires </t>
  </si>
  <si>
    <t xml:space="preserve">Methode, Environnement, toutes les équipes mené à réalisé des documents </t>
  </si>
  <si>
    <t>Differentes partie prenantes, contrôle en interne de la conformité des doculents puis par la MOE qui emet ou pas un visa(refusé, commentaire, accepté) =&gt; pour les DAF (demande agrégation produit</t>
  </si>
  <si>
    <t xml:space="preserve">Mature </t>
  </si>
  <si>
    <t>Alexandre</t>
  </si>
  <si>
    <t xml:space="preserve">Pas utilisé </t>
  </si>
  <si>
    <t xml:space="preserve">Alexandre admin, met en place les comptes utilisateur  </t>
  </si>
  <si>
    <t>IDCAPTURE</t>
  </si>
  <si>
    <t xml:space="preserve">Microsoft </t>
  </si>
  <si>
    <t>Systra</t>
  </si>
  <si>
    <t xml:space="preserve">CWT EUROPE </t>
  </si>
  <si>
    <t xml:space="preserve">E-paraph </t>
  </si>
  <si>
    <t>MEZZOTEAM</t>
  </si>
  <si>
    <t>Excel</t>
  </si>
  <si>
    <t xml:space="preserve">70 maquetttes généré par les bureau d'étude </t>
  </si>
  <si>
    <t>Autocad</t>
  </si>
  <si>
    <t>Inventor</t>
  </si>
  <si>
    <t>Civil 3D</t>
  </si>
  <si>
    <t>Autodesk</t>
  </si>
  <si>
    <t>Produire les maquettes(3D)</t>
  </si>
  <si>
    <t>Plan (production)=&gt; 2D</t>
  </si>
  <si>
    <t xml:space="preserve">3D =&gt; pièce mécanique </t>
  </si>
  <si>
    <t xml:space="preserve">Dépend du contexte et de l'objet à modéliser </t>
  </si>
  <si>
    <t xml:space="preserve">Tous les jours </t>
  </si>
  <si>
    <t>Modéliser la maquettes que pour le tunnel</t>
  </si>
  <si>
    <t xml:space="preserve">Dessein du terrassement </t>
  </si>
  <si>
    <t>Autodesk(coût:système token)</t>
  </si>
  <si>
    <t>tekla bimsight(licence)</t>
  </si>
  <si>
    <t>Fusionnage de maquettes</t>
  </si>
  <si>
    <t>Simple BIM</t>
  </si>
  <si>
    <t xml:space="preserve">Hebdomadaire </t>
  </si>
  <si>
    <t>BIM vision</t>
  </si>
  <si>
    <t xml:space="preserve">Ouvrir une maquette </t>
  </si>
  <si>
    <t>Licence</t>
  </si>
  <si>
    <t>QGIS</t>
  </si>
  <si>
    <t xml:space="preserve">Code </t>
  </si>
  <si>
    <t xml:space="preserve">BE, Méthodes, </t>
  </si>
  <si>
    <t>Topo, Directeur technique, pixis</t>
  </si>
  <si>
    <t xml:space="preserve">Pixis </t>
  </si>
  <si>
    <t xml:space="preserve">Lucas, Etienne,  equipes travaux </t>
  </si>
  <si>
    <t>Etienne</t>
  </si>
  <si>
    <t>Méthode, BIM</t>
  </si>
  <si>
    <t>BIM</t>
  </si>
  <si>
    <t xml:space="preserve">En developpement </t>
  </si>
  <si>
    <t>Martin</t>
  </si>
  <si>
    <t xml:space="preserve">Contrat Manager </t>
  </si>
  <si>
    <t xml:space="preserve">Suivi des recettes et des montants cumulés  , mesnuel =&gt; situation de travaux </t>
  </si>
  <si>
    <t xml:space="preserve">Excel </t>
  </si>
  <si>
    <t xml:space="preserve">Permet d'activer la facturation , voir la situation </t>
  </si>
  <si>
    <t xml:space="preserve">Avancement avec les ingé </t>
  </si>
  <si>
    <t xml:space="preserve">Tisseo </t>
  </si>
  <si>
    <t xml:space="preserve">Tous les mois </t>
  </si>
  <si>
    <t>Baseware</t>
  </si>
  <si>
    <t xml:space="preserve">Validé les facturations partenaires, </t>
  </si>
  <si>
    <t xml:space="preserve">Equipe de Gestion </t>
  </si>
  <si>
    <t xml:space="preserve">Thierry </t>
  </si>
  <si>
    <t xml:space="preserve">Redaction de document, mémoire, reclamation </t>
  </si>
  <si>
    <t xml:space="preserve">Quotidien </t>
  </si>
  <si>
    <t xml:space="preserve">Suivi du pilotage/ avancement des chantiers </t>
  </si>
  <si>
    <t xml:space="preserve">Equipe travaux </t>
  </si>
  <si>
    <t xml:space="preserve">Accès aux documents </t>
  </si>
  <si>
    <t>Méthode/BIM</t>
  </si>
  <si>
    <t xml:space="preserve">Synologie </t>
  </si>
  <si>
    <t xml:space="preserve">Technologia BIM </t>
  </si>
  <si>
    <t xml:space="preserve">SIG, repère dans un plan </t>
  </si>
  <si>
    <t>Manuel</t>
  </si>
  <si>
    <t>Abdellah</t>
  </si>
  <si>
    <t xml:space="preserve">Abdellah  commence à engagé des dépenses, dans les bons ateliers </t>
  </si>
  <si>
    <t xml:space="preserve">Harmony </t>
  </si>
  <si>
    <t xml:space="preserve">Abdellah  commence à engagé des dépenses par la reception des bl =&gt; une fois recpetionné transfert dans la PC100 =&gt; PAMS peut par la suite commencé le CB / Si litige =&gt;  notation la différence de montant et enregistrement de la facture dans le PC100 =&gt; paiement du montant "légitime"=&gt; discussion avec le fournisseur =&gt; génération d'un avoir ou paiement de la totalité  </t>
  </si>
  <si>
    <t xml:space="preserve">Sabine, fournisseurs </t>
  </si>
  <si>
    <t xml:space="preserve">Baseware </t>
  </si>
  <si>
    <r>
      <t xml:space="preserve">Outils pour enregistrements, validation, partie </t>
    </r>
    <r>
      <rPr>
        <sz val="9"/>
        <color rgb="FFFF0000"/>
        <rFont val="Arial"/>
        <family val="2"/>
      </rPr>
      <t>circuit de validation</t>
    </r>
    <r>
      <rPr>
        <sz val="9"/>
        <color rgb="FF000000"/>
        <rFont val="Arial"/>
        <family val="2"/>
      </rPr>
      <t xml:space="preserve">, Engagé les litiges </t>
    </r>
  </si>
  <si>
    <t>Chronofacture, BDD factures, rapprochement entre la proposition d'ADF envoyé par SIHEM et les factures présents dans le BDD, envoie de la PC100</t>
  </si>
  <si>
    <t xml:space="preserve">Notification d'un  nouveau contrats </t>
  </si>
  <si>
    <t xml:space="preserve">Automatique </t>
  </si>
  <si>
    <t>Pablo commande passé par les opérationneles trier par ateliers, Baseware</t>
  </si>
  <si>
    <t>Benjamin</t>
  </si>
  <si>
    <t xml:space="preserve">Reponsable Travaux </t>
  </si>
  <si>
    <t xml:space="preserve">Juste validation </t>
  </si>
  <si>
    <t>Sabine</t>
  </si>
  <si>
    <t xml:space="preserve">Sabine , Martin, abdellah, PAMS </t>
  </si>
  <si>
    <t xml:space="preserve">Reception, harmoniser les champs des factures , contrôle, </t>
  </si>
  <si>
    <t xml:space="preserve">Chronofactures </t>
  </si>
  <si>
    <t xml:space="preserve">Verification de montant de commande lors d'un différents </t>
  </si>
  <si>
    <t xml:space="preserve">Rôle: Comptable fournisseur de chantier, centraliser, enregistrer les factures , rapprochement factures et reception(abdellah), respect de la loi LME =&gt; paiement des ADF / Facturation éléctronique </t>
  </si>
  <si>
    <t xml:space="preserve">Lutte contre le travail illégal , dépôt de document(visite médical…),Verification  des autorisation, élaboration de badges apres test sécu ok </t>
  </si>
  <si>
    <t>Puma</t>
  </si>
  <si>
    <t>Prime de poste , heures de travail , compagnon BYT</t>
  </si>
  <si>
    <t>04/062026</t>
  </si>
  <si>
    <t xml:space="preserve">BIP /BAPS </t>
  </si>
  <si>
    <t xml:space="preserve">Valérie , agence d'intérim, </t>
  </si>
  <si>
    <t xml:space="preserve">Intérim, heures , renouvellement, verification </t>
  </si>
  <si>
    <t xml:space="preserve"> </t>
  </si>
  <si>
    <t xml:space="preserve">Agence d'itérim =&gt; 3 Juin </t>
  </si>
  <si>
    <t xml:space="preserve">Bon de commande =&gt; formation </t>
  </si>
  <si>
    <t xml:space="preserve">BIP(chef de chantier qui deverse dans PUMA) </t>
  </si>
  <si>
    <t xml:space="preserve">BY MY SITE </t>
  </si>
  <si>
    <t>Logiciel de fomation, centralisation de formation</t>
  </si>
  <si>
    <t>Assistant RH</t>
  </si>
  <si>
    <t xml:space="preserve">H&amp;R For you </t>
  </si>
  <si>
    <t xml:space="preserve">Demande de CP, monaitisation, placement gérance fonds, attestation employeur </t>
  </si>
  <si>
    <t>Service RH</t>
  </si>
  <si>
    <t xml:space="preserve">Formations , repertorié suvi, coûts des formations, suivi des heures d'insertion, prime jalonné  </t>
  </si>
  <si>
    <t>NA</t>
  </si>
  <si>
    <t xml:space="preserve">Connexion avec les mails et le sharepoint doe(dossier d'ouvrages éxécuté), prestataires externes (Sgma Beton) =&gt; pas fluide </t>
  </si>
  <si>
    <t>Aucun</t>
  </si>
  <si>
    <t>HARMONIE</t>
  </si>
  <si>
    <t>Harmonie</t>
  </si>
  <si>
    <t xml:space="preserve">Regulierement </t>
  </si>
  <si>
    <t xml:space="preserve">Ponctuel </t>
  </si>
  <si>
    <t>Tout le monde</t>
  </si>
  <si>
    <t xml:space="preserve">interne </t>
  </si>
  <si>
    <t xml:space="preserve">Aucun </t>
  </si>
  <si>
    <t xml:space="preserve">Harmonie </t>
  </si>
  <si>
    <t xml:space="preserve">Tous </t>
  </si>
  <si>
    <t xml:space="preserve">Tout </t>
  </si>
  <si>
    <t>Microsoft</t>
  </si>
  <si>
    <t>Soletanche</t>
  </si>
  <si>
    <t xml:space="preserve">Souvent </t>
  </si>
  <si>
    <t xml:space="preserve">Manuel/Automatique </t>
  </si>
  <si>
    <t xml:space="preserve">Fluide </t>
  </si>
  <si>
    <t xml:space="preserve">GOOGLE </t>
  </si>
  <si>
    <t>MICROSOFT</t>
  </si>
  <si>
    <t>Ingé travaux</t>
  </si>
  <si>
    <t xml:space="preserve">Laurie </t>
  </si>
  <si>
    <t xml:space="preserve">MS PROJECT </t>
  </si>
  <si>
    <t xml:space="preserve">commande de gros engins, nécéssite de faire  des avenants, </t>
  </si>
  <si>
    <t xml:space="preserve">Role : lien entre les méthode , le service achats , avec la maitrise pas de lien hierarchique, plannification anticiper les besoins gérer les allas , budgetisation, suivi global, mannager, gérer les sous traitant , vision + global que les conducteurs de travaux </t>
  </si>
  <si>
    <t>Avenants, contrat</t>
  </si>
  <si>
    <t>Traktor</t>
  </si>
  <si>
    <t xml:space="preserve">Commande de gros engins </t>
  </si>
  <si>
    <t>ERP MAT</t>
  </si>
  <si>
    <t>Commande de coffrage , grue au tour, sécurite</t>
  </si>
  <si>
    <t xml:space="preserve">Inventaire via power bi </t>
  </si>
  <si>
    <t xml:space="preserve">Suivi des plans, diffusion des plans </t>
  </si>
  <si>
    <t xml:space="preserve">Utiliser pour les mises à dispositions </t>
  </si>
  <si>
    <t xml:space="preserve">Par phase (sur fin de chantier </t>
  </si>
  <si>
    <t xml:space="preserve">Fiche bêton , fiches feraillage , journaux chantier (pour les chef de chantier) </t>
  </si>
  <si>
    <t xml:space="preserve">Planning travaux,  Objectif et tranferts transmis en amont aux ingé, relation humaines, chance, condtion, terrain, points de vigilance, pas beaucoup de prob technique </t>
  </si>
  <si>
    <t>En developpement (bug ,pas intuitif )</t>
  </si>
  <si>
    <t>En developpement (bug ,pas intuitif, )</t>
  </si>
  <si>
    <t xml:space="preserve">La technique les connexions </t>
  </si>
  <si>
    <t>MMS</t>
  </si>
  <si>
    <t xml:space="preserve">A visé de reporting pour les gens du sièges </t>
  </si>
  <si>
    <t>BYMAT</t>
  </si>
  <si>
    <t>Morgan</t>
  </si>
  <si>
    <t xml:space="preserve">MIRO </t>
  </si>
  <si>
    <t xml:space="preserve">Récolter les obeya </t>
  </si>
  <si>
    <t xml:space="preserve">Arret car prob de connexion </t>
  </si>
  <si>
    <t xml:space="preserve">Prise de notes </t>
  </si>
  <si>
    <t>YELLOW</t>
  </si>
  <si>
    <t>KPI</t>
  </si>
  <si>
    <t xml:space="preserve">Identification des jalons , pointage </t>
  </si>
  <si>
    <t xml:space="preserve">Décupler via un excel </t>
  </si>
  <si>
    <t>visite sécurité, visite chantiers, toutes les visites</t>
  </si>
  <si>
    <t xml:space="preserve">Manque de synchronisation; formulaire bug </t>
  </si>
  <si>
    <t xml:space="preserve">Par toute les équipes </t>
  </si>
  <si>
    <t>Validation</t>
  </si>
  <si>
    <t>E-paraph</t>
  </si>
  <si>
    <t>Récolter les obeya, avanceement des travaux (tunnel);  pointage de l'encadrement</t>
  </si>
  <si>
    <t xml:space="preserve">A refaire le pointage de l'encadrement </t>
  </si>
  <si>
    <t xml:space="preserve">Engagements des dépenses à la reception des bl, suivre les commandes , envoi des avis de paiement, Pour les ST=&gt; création d'un b.D.C=&gt; basé sur la taille du contrat =&gt; situation mise à jour   </t>
  </si>
  <si>
    <t>Oasis</t>
  </si>
  <si>
    <t>Word</t>
  </si>
  <si>
    <t>Pablo</t>
  </si>
  <si>
    <t>Cabine de pilotage(Power BI)</t>
  </si>
  <si>
    <t xml:space="preserve">Workflow de contrôle qualité bétonnage, eprouvettes, accueil sécurité, formation post travail </t>
  </si>
  <si>
    <t>22/062026</t>
  </si>
  <si>
    <t>Camille</t>
  </si>
  <si>
    <t xml:space="preserve">Environnement </t>
  </si>
  <si>
    <t xml:space="preserve">mensuel </t>
  </si>
  <si>
    <t>1/4h sensibilisation, suivi des consommatio(compteurs), suivi des prélevements, contrôle ste (traitement eau)</t>
  </si>
  <si>
    <t xml:space="preserve">Formulaire de visite environnement , demandé par camille pour le suivi des actions, jamais marché, mauvais connexion avec quikconnect dépendance de cet outils, concentration de demande sur les même personnes  =&gt; pour être certifié =&gt; demande de bouygues, </t>
  </si>
  <si>
    <t xml:space="preserve">Pas de réel compréhensions métier, outil pas bien conçu </t>
  </si>
  <si>
    <t>Faire la qualité</t>
  </si>
  <si>
    <t xml:space="preserve">Jamais </t>
  </si>
  <si>
    <t xml:space="preserve">Suivi des consommations (eau, éléctricité) </t>
  </si>
  <si>
    <t>Pas intuitif, prend pas en compte la 3d, trop de manip , pas possible de charger plein de fichier en momentané</t>
  </si>
  <si>
    <t>Liveobject(ORANGE)</t>
  </si>
  <si>
    <t xml:space="preserve">Sixsense monitoring </t>
  </si>
  <si>
    <t>Wastemarket place (wakio)</t>
  </si>
  <si>
    <t>Lafarge +</t>
  </si>
  <si>
    <t xml:space="preserve">Lucee TP </t>
  </si>
  <si>
    <t xml:space="preserve">Déterminer les espèces envahissantes </t>
  </si>
  <si>
    <t xml:space="preserve">Powerbi </t>
  </si>
  <si>
    <t xml:space="preserve">Beaucoup de service </t>
  </si>
  <si>
    <t xml:space="preserve">Première lecture, pouvoir localiser en 3d les éléments </t>
  </si>
  <si>
    <t xml:space="preserve">DT </t>
  </si>
  <si>
    <t>Idcapture indirectement par des screenshot en 3d</t>
  </si>
  <si>
    <t>Mis en place d'un outil de réserve mêlant 3D , identification des sujet bloquant pour les MaD</t>
  </si>
  <si>
    <t xml:space="preserve">Renvoie de les indicateurs de consommation sur les compteurs de pompage </t>
  </si>
  <si>
    <t xml:space="preserve">Plateforme d'ORANGE </t>
  </si>
  <si>
    <t xml:space="preserve">Export manuel des pulsations pour les réinjecter dasn des tab internes </t>
  </si>
  <si>
    <t xml:space="preserve">Mensuel </t>
  </si>
  <si>
    <t xml:space="preserve">En devellopement </t>
  </si>
  <si>
    <t>WIP</t>
  </si>
  <si>
    <t xml:space="preserve">Accoustique, sonomètre </t>
  </si>
  <si>
    <t xml:space="preserve">Ponctuellement en fonction des demandes </t>
  </si>
  <si>
    <t xml:space="preserve">Dossie rbruit fait en amont du_chantier , outil permettant de "protéger " Bouygues et de justifier du respect </t>
  </si>
  <si>
    <t xml:space="preserve">Tous les jours( en phase creusement) , mensuellement en phase final </t>
  </si>
  <si>
    <t xml:space="preserve">Gestion des déchets </t>
  </si>
  <si>
    <t xml:space="preserve">Avant POWER BI,  </t>
  </si>
  <si>
    <t xml:space="preserve">Tous les chefs de chantier </t>
  </si>
  <si>
    <t>Obligation légal de suivre les déchets dangereux ( pouvant porté atteinte à l'envi, huma; Traduis un besoin du client =&gt; MO =&gt; 100% de la traçabilité de tous les déchets dangereux)</t>
  </si>
  <si>
    <t>Mature (quelques ysfonctionnement dû à l'humain)</t>
  </si>
  <si>
    <t>SUIVI bl, m3 coulé</t>
  </si>
  <si>
    <t>Utiliser depuis 2026</t>
  </si>
  <si>
    <t>Lafarge</t>
  </si>
  <si>
    <t xml:space="preserve">Aucun  </t>
  </si>
  <si>
    <t>Application</t>
  </si>
  <si>
    <t xml:space="preserve">Ponctuellement </t>
  </si>
  <si>
    <t>amélioration : outil permettant de cartographie ; obligation de veiller à ne pas propager le dev des espèces envahissantes</t>
  </si>
  <si>
    <t xml:space="preserve">Déclaration de HIPO </t>
  </si>
  <si>
    <t>Franck</t>
  </si>
  <si>
    <t>TOPO</t>
  </si>
  <si>
    <t xml:space="preserve">Cyclone 3dr </t>
  </si>
  <si>
    <t xml:space="preserve">Covadis </t>
  </si>
  <si>
    <t>La scene</t>
  </si>
  <si>
    <t>Genration des points de topo</t>
  </si>
  <si>
    <t>La topo</t>
  </si>
  <si>
    <t xml:space="preserve">Licence réseau </t>
  </si>
  <si>
    <t xml:space="preserve">Tracer de ligne, nettoyage des plans </t>
  </si>
  <si>
    <t>Scan réalisé par un scanner pharo</t>
  </si>
  <si>
    <t>Générer des points topo, analyse des scans , retraitementement de nuage de point</t>
  </si>
  <si>
    <t xml:space="preserve">Retraitement automatique du nettoyage des plans, Alimenter manuellement </t>
  </si>
  <si>
    <t>Récupère les plans de coffrage, intermédiaire entre la dt et le terrain , implantations(plus en début de chantier)</t>
  </si>
  <si>
    <t>Rapport,avec des plans de cyclone 3d</t>
  </si>
  <si>
    <t xml:space="preserve">Non </t>
  </si>
  <si>
    <t xml:space="preserve">Licence </t>
  </si>
  <si>
    <t>Mature</t>
  </si>
  <si>
    <t xml:space="preserve">Assemblage de position de scan </t>
  </si>
  <si>
    <t>Topo</t>
  </si>
  <si>
    <t xml:space="preserve">cyclone 3d </t>
  </si>
  <si>
    <t xml:space="preserve">Récupère les plans, outils de partage des plans </t>
  </si>
  <si>
    <t xml:space="preserve">Quotidien  </t>
  </si>
  <si>
    <t>cyclone 3d, Autocad</t>
  </si>
  <si>
    <t xml:space="preserve">Leica </t>
  </si>
  <si>
    <t>Pixis</t>
  </si>
  <si>
    <t xml:space="preserve">Guidage du tunnelier,  </t>
  </si>
  <si>
    <t xml:space="preserve">Equipe tunnel, Topo, Automatiquement </t>
  </si>
  <si>
    <t xml:space="preserve">pixys tool(rapport de lever d'anneau, position machine) , mobidic </t>
  </si>
  <si>
    <t>Revit</t>
  </si>
  <si>
    <t>Sofistik bridge</t>
  </si>
  <si>
    <t>Anaconda</t>
  </si>
  <si>
    <t>E-project</t>
  </si>
  <si>
    <t>NotebookLM</t>
  </si>
  <si>
    <t>Trimbleconnect</t>
  </si>
  <si>
    <t>Externe</t>
  </si>
  <si>
    <t>Automatique</t>
  </si>
  <si>
    <t>Thierry</t>
  </si>
  <si>
    <t>Valerie</t>
  </si>
  <si>
    <t>TUNNEL</t>
  </si>
  <si>
    <t xml:space="preserve">SALLY </t>
  </si>
  <si>
    <t xml:space="preserve"> Autocad</t>
  </si>
  <si>
    <t>Suivi l'avancement du  tunnnelier , info en temps réel ,</t>
  </si>
  <si>
    <t xml:space="preserve">Modification des plans, faire des schéma  </t>
  </si>
  <si>
    <t xml:space="preserve">Visualisation 3D </t>
  </si>
  <si>
    <t>Planning</t>
  </si>
  <si>
    <t xml:space="preserve">Planning, tableau de suivi, </t>
  </si>
  <si>
    <t xml:space="preserve">Suivi béton, journaux de chantiers, réception de livraison des voussoir, rec mortier </t>
  </si>
  <si>
    <t xml:space="preserve">Suivi betonnage, livraison du soir, suivi voussoir </t>
  </si>
  <si>
    <t xml:space="preserve">Suivii voussoir =&gt; bon fonctionnement, suivi bétonnage pas fonctionné cart manque de réctivité </t>
  </si>
  <si>
    <t>rarement</t>
  </si>
  <si>
    <t>Sally</t>
  </si>
  <si>
    <t>Equpe Tunnel</t>
  </si>
  <si>
    <t xml:space="preserve">Pour les finitions, communication avec la maitrise d'œuvre  </t>
  </si>
  <si>
    <t xml:space="preserve">Suivi de production pouvant être automatisé </t>
  </si>
  <si>
    <t xml:space="preserve">Externe </t>
  </si>
  <si>
    <t>Power BI</t>
  </si>
  <si>
    <t xml:space="preserve">(Power BI Miles stones management system ) </t>
  </si>
  <si>
    <t xml:space="preserve">Comptabilité/gestion </t>
  </si>
  <si>
    <t xml:space="preserve">Tous les services </t>
  </si>
  <si>
    <t xml:space="preserve">Équipe AGC </t>
  </si>
  <si>
    <t xml:space="preserve">Membres d'une boucle de validation </t>
  </si>
  <si>
    <t xml:space="preserve">Declaration des ST(paiement direct) </t>
  </si>
  <si>
    <t xml:space="preserve">GESTION DES ST </t>
  </si>
  <si>
    <t>CIRCUIT DE VALIDATION</t>
  </si>
  <si>
    <t xml:space="preserve">N.A </t>
  </si>
  <si>
    <t xml:space="preserve">FLUX </t>
  </si>
  <si>
    <t xml:space="preserve">Contrôle Qualité </t>
  </si>
  <si>
    <t xml:space="preserve">Commande de matériel </t>
  </si>
  <si>
    <t>Contrôle Qualité (visualisation)</t>
  </si>
  <si>
    <t xml:space="preserve">MAD </t>
  </si>
  <si>
    <t>Application métiers</t>
  </si>
  <si>
    <t>Colonne32</t>
  </si>
  <si>
    <t xml:space="preserve">Socle de données </t>
  </si>
  <si>
    <t xml:space="preserve">Nature </t>
  </si>
  <si>
    <t>GESTION DES MATÉRIELS</t>
  </si>
  <si>
    <t>GESTION DES CONTRATS</t>
  </si>
  <si>
    <t xml:space="preserve">PRODUCTION DE MAQUETTES </t>
  </si>
  <si>
    <t xml:space="preserve">GESTION DE MAQUETTES </t>
  </si>
  <si>
    <t xml:space="preserve">GESTION DES ENCAISSEMENTS </t>
  </si>
  <si>
    <t>Déposer les maquettes (sharepoint des maquettes)</t>
  </si>
  <si>
    <t>AVANCEMENTS JALON CHANTIER</t>
  </si>
  <si>
    <t>FACTURATION PARTENAIRE</t>
  </si>
  <si>
    <t xml:space="preserve">GESTION DE CONTRATS </t>
  </si>
  <si>
    <t>ENGAGEMENT DES DÉPENSES</t>
  </si>
  <si>
    <t>Application métiers/Socle de donnée</t>
  </si>
  <si>
    <t xml:space="preserve">Constat contrat contradictoire, Fuite d'eau </t>
  </si>
  <si>
    <t>GESTION TRAVAUX</t>
  </si>
  <si>
    <t>GESTION IMPRÉVU CHANTIER</t>
  </si>
  <si>
    <t>GESTION DE FACTURATION</t>
  </si>
  <si>
    <t>GESTION DES CHANTIER</t>
  </si>
  <si>
    <t>ON BOARDING RH</t>
  </si>
  <si>
    <t xml:space="preserve">GESTION DU PERSONNEL </t>
  </si>
  <si>
    <t>GESTION DES FORMATIONS</t>
  </si>
  <si>
    <t>COMMANDE CHANTIER</t>
  </si>
  <si>
    <t xml:space="preserve">GESTION CHANTIER </t>
  </si>
  <si>
    <t xml:space="preserve">Consultation des plans </t>
  </si>
  <si>
    <t>Saisie des factures , extraction de litiges</t>
  </si>
  <si>
    <t>KPI tunnel</t>
  </si>
  <si>
    <t xml:space="preserve">Contrôle Qualité /Environnement </t>
  </si>
  <si>
    <t xml:space="preserve">Contrôle Environnement </t>
  </si>
  <si>
    <t>TIPS</t>
  </si>
  <si>
    <t xml:space="preserve">CEMEX </t>
  </si>
  <si>
    <t>Achat +(achat pablo =&gt; opérationnel)</t>
  </si>
  <si>
    <t xml:space="preserve">GMAO(gestion du stock =&gt; tunnel) </t>
  </si>
  <si>
    <t>Neoacces</t>
  </si>
  <si>
    <t xml:space="preserve">créer les badges =&gt; gère les accès </t>
  </si>
  <si>
    <t>POWER BI</t>
  </si>
  <si>
    <t>Power Point</t>
  </si>
  <si>
    <t xml:space="preserve">Pointage soletanche bachis </t>
  </si>
  <si>
    <t xml:space="preserve">  </t>
  </si>
  <si>
    <t>Adhérence planning , évaluation/ appréciation des jalons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</si>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</sst>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003087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9"/>
      <color rgb="FF003087"/>
      <name val="Arial"/>
      <family val="2"/>
    </font>
    <font>
      <sz val="10"/>
      <color rgb="FF000000"/>
      <name val="Arial"/>
      <family val="2"/>
    </font>
    <font>
      <i/>
      <sz val="9"/>
      <color rgb="FFE87722"/>
      <name val="Arial"/>
      <family val="2"/>
    </font>
    <font>
      <i/>
      <sz val="9"/>
      <color rgb="FF666666"/>
      <name val="Arial"/>
      <family val="2"/>
    </font>
    <font>
      <b/>
      <sz val="9"/>
      <color rgb="FFE8772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9"/>
      <color rgb="FFFF0000"/>
      <name val="Arial"/>
      <family val="2"/>
    </font>
    <font>
      <b/>
      <sz val="9"/>
      <color rgb="FFFFFFFF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F2F2F2"/>
      </patternFill>
    </fill>
    <fill>
      <patternFill patternType="solid">
        <fgColor rgb="FF0055A4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87722"/>
      </patternFill>
    </fill>
    <fill>
      <patternFill patternType="solid">
        <fgColor rgb="FF0055A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0" xfId="0" applyFont="1"/>
    <xf numFmtId="0" fontId="16" fillId="4" borderId="4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9" fillId="8" borderId="4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left" vertical="center" wrapText="1"/>
    </xf>
    <xf numFmtId="0" fontId="0" fillId="9" borderId="5" xfId="0" applyFill="1" applyBorder="1"/>
    <xf numFmtId="0" fontId="20" fillId="5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/>
    <xf numFmtId="0" fontId="9" fillId="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b/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left style="thin">
          <color rgb="FFAAAAAA"/>
        </left>
        <top style="thin">
          <color rgb="FFAAAAAA"/>
        </top>
      </border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indexed="64"/>
          <bgColor rgb="FF0055A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BAB52-70CE-478A-B925-89E91258EB05}" name="Tableau1" displayName="Tableau1" ref="A3:R103" totalsRowShown="0" headerRowDxfId="5" headerRowBorderDxfId="4" tableBorderDxfId="3">
  <autoFilter ref="A3:R103" xr:uid="{9C7BAB52-70CE-478A-B925-89E91258EB05}"/>
  <tableColumns count="18">
    <tableColumn id="1" xr3:uid="{117A2E8B-C1C3-4ED1-8B4D-697EE2D0C9FB}" name="N°"/>
    <tableColumn id="2" xr3:uid="{9C34FEDD-895C-460C-99CB-1BEB5F3A4817}" name="Date_x000a_Entretien"/>
    <tableColumn id="3" xr3:uid="{D12F2DE0-64B3-4968-9896-C13591ADD585}" name="Service /_x000a_Département"/>
    <tableColumn id="4" xr3:uid="{87CE92B4-5BEC-4749-87BD-B136F3293F05}" name="Interlocuteur"/>
    <tableColumn id="19" xr3:uid="{57E059F4-0914-4E48-BC6F-2D7BE397178B}" name="FLUX " dataDxfId="2"/>
    <tableColumn id="20" xr3:uid="{CFA61AD4-3170-4E06-AFD7-22FBE6A71B12}" name="Nature " dataDxfId="1"/>
    <tableColumn id="5" xr3:uid="{10EB2D7B-AF43-4866-9B43-C984DBF1EE9A}" name="Nom de l'Outil" dataDxfId="0"/>
    <tableColumn id="6" xr3:uid="{8E4CB716-3693-46DB-B4B7-A6848E1ACF07}" name="Usage /_x000a_Pourquoi"/>
    <tableColumn id="7" xr3:uid="{8DC67869-DFBC-46DA-AA06-FF5084393784}" name="Interne /_x000a_Externe"/>
    <tableColumn id="8" xr3:uid="{D848855D-50F7-4784-BA32-B321302C23AA}" name="Éditeur /_x000a_Fournisseur"/>
    <tableColumn id="9" xr3:uid="{1A8D8F60-2A31-4604-9FCD-6CE5AE71C021}" name="Alimentation_x000a_(Manuel/Auto)"/>
    <tableColumn id="10" xr3:uid="{4C5EC5FE-139E-426F-A313-647B6E2D1553}" name="Fréquence_x000a_d'utilisation"/>
    <tableColumn id="11" xr3:uid="{328FEE3C-AFA2-4F33-9628-D331DB9C6B2E}" name="Alimenté_x000a_par qui"/>
    <tableColumn id="12" xr3:uid="{EF0B4AE0-72D9-41CE-A639-F338B34EFD48}" name="Alimente_x000a_quel outil"/>
    <tableColumn id="13" xr3:uid="{88B69B2A-98C2-4E58-9521-83594F18F2A9}" name="Interfaces /_x000a_Connexions"/>
    <tableColumn id="14" xr3:uid="{D221008E-F249-4FA4-8DB9-CE0A45064799}" name="Niveau_x000a_Maturité"/>
    <tableColumn id="15" xr3:uid="{D46C08E8-A3C2-4C0B-8946-CF3DAE4CEE19}" name="Commentaires /_x000a_Points d'attention"/>
    <tableColumn id="21" xr3:uid="{ED3E9F9D-B064-4592-AA3F-5E7740E1FF1C}" name="Colonne3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3"/>
  <sheetViews>
    <sheetView showGridLines="0" tabSelected="1" zoomScale="85" zoomScaleNormal="85" workbookViewId="0">
      <selection activeCell="H8" sqref="H8"/>
    </sheetView>
  </sheetViews>
  <sheetFormatPr baseColWidth="10" defaultColWidth="9.140625" defaultRowHeight="15" x14ac:dyDescent="0.25"/>
  <cols>
    <col min="1" max="1" width="7.42578125" bestFit="1" customWidth="1"/>
    <col min="2" max="2" width="12.85546875" bestFit="1" customWidth="1"/>
    <col min="3" max="3" width="18.140625" bestFit="1" customWidth="1"/>
    <col min="4" max="4" width="16" bestFit="1" customWidth="1"/>
    <col min="5" max="5" width="15.140625" customWidth="1"/>
    <col min="6" max="6" width="33.5703125" style="24" bestFit="1" customWidth="1"/>
    <col min="7" max="7" width="20.7109375" customWidth="1"/>
    <col min="8" max="8" width="119.85546875" bestFit="1" customWidth="1"/>
    <col min="9" max="9" width="18" customWidth="1"/>
    <col min="10" max="10" width="18" hidden="1" customWidth="1"/>
    <col min="11" max="11" width="18" customWidth="1"/>
    <col min="12" max="12" width="21.28515625" customWidth="1"/>
    <col min="13" max="13" width="39.28515625" bestFit="1" customWidth="1"/>
    <col min="14" max="14" width="33.85546875" bestFit="1" customWidth="1"/>
    <col min="15" max="15" width="30" customWidth="1"/>
    <col min="16" max="16" width="33" customWidth="1"/>
    <col min="17" max="17" width="30.7109375" customWidth="1"/>
    <col min="18" max="18" width="18.5703125" bestFit="1" customWidth="1"/>
    <col min="23" max="23" width="34.5703125" bestFit="1" customWidth="1"/>
  </cols>
  <sheetData>
    <row r="1" spans="1:23" ht="32.1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23" ht="20.100000000000001" customHeight="1" x14ac:dyDescent="0.25">
      <c r="A2" s="35" t="s">
        <v>480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23" ht="24" x14ac:dyDescent="0.25">
      <c r="A3" s="21" t="s">
        <v>1</v>
      </c>
      <c r="B3" s="22" t="s">
        <v>2</v>
      </c>
      <c r="C3" s="22" t="s">
        <v>3</v>
      </c>
      <c r="D3" s="22" t="s">
        <v>4</v>
      </c>
      <c r="E3" s="22" t="s">
        <v>436</v>
      </c>
      <c r="F3" s="22" t="s">
        <v>444</v>
      </c>
      <c r="G3" s="25" t="s">
        <v>5</v>
      </c>
      <c r="H3" s="22" t="s">
        <v>6</v>
      </c>
      <c r="I3" s="22" t="s">
        <v>7</v>
      </c>
      <c r="J3" s="22" t="s">
        <v>8</v>
      </c>
      <c r="K3" s="29" t="s">
        <v>9</v>
      </c>
      <c r="L3" s="22" t="s">
        <v>10</v>
      </c>
      <c r="M3" s="22" t="s">
        <v>11</v>
      </c>
      <c r="N3" s="22" t="s">
        <v>12</v>
      </c>
      <c r="O3" s="22" t="s">
        <v>13</v>
      </c>
      <c r="P3" s="22" t="s">
        <v>14</v>
      </c>
      <c r="Q3" s="22" t="s">
        <v>15</v>
      </c>
      <c r="R3" s="29" t="s">
        <v>442</v>
      </c>
    </row>
    <row r="4" spans="1:23" ht="60" x14ac:dyDescent="0.25">
      <c r="A4" s="1">
        <f t="shared" ref="A4:A32" si="0">ROW()-3</f>
        <v>1</v>
      </c>
      <c r="B4" s="17">
        <v>46169</v>
      </c>
      <c r="C4" s="1" t="s">
        <v>116</v>
      </c>
      <c r="D4" s="1" t="s">
        <v>111</v>
      </c>
      <c r="E4" s="1" t="s">
        <v>433</v>
      </c>
      <c r="F4" s="1" t="s">
        <v>443</v>
      </c>
      <c r="G4" s="26" t="s">
        <v>112</v>
      </c>
      <c r="H4" s="1" t="s">
        <v>432</v>
      </c>
      <c r="I4" s="1" t="s">
        <v>405</v>
      </c>
      <c r="J4" s="1" t="s">
        <v>113</v>
      </c>
      <c r="K4" s="1" t="s">
        <v>222</v>
      </c>
      <c r="L4" s="1" t="s">
        <v>120</v>
      </c>
      <c r="M4" s="1" t="s">
        <v>114</v>
      </c>
      <c r="N4" s="2" t="s">
        <v>263</v>
      </c>
      <c r="O4" s="1" t="s">
        <v>136</v>
      </c>
      <c r="P4" s="1" t="s">
        <v>115</v>
      </c>
      <c r="Q4" t="s">
        <v>261</v>
      </c>
    </row>
    <row r="5" spans="1:23" ht="45" x14ac:dyDescent="0.25">
      <c r="A5" s="2">
        <f t="shared" si="0"/>
        <v>2</v>
      </c>
      <c r="B5" s="30">
        <v>46169</v>
      </c>
      <c r="C5" s="2" t="s">
        <v>116</v>
      </c>
      <c r="D5" s="2" t="s">
        <v>111</v>
      </c>
      <c r="E5" s="2" t="s">
        <v>434</v>
      </c>
      <c r="F5" s="27" t="s">
        <v>441</v>
      </c>
      <c r="G5" s="27" t="s">
        <v>316</v>
      </c>
      <c r="H5" s="2" t="s">
        <v>118</v>
      </c>
      <c r="I5" s="2" t="s">
        <v>119</v>
      </c>
      <c r="J5" s="2" t="s">
        <v>168</v>
      </c>
      <c r="K5" s="1" t="s">
        <v>222</v>
      </c>
      <c r="L5" s="2" t="s">
        <v>120</v>
      </c>
      <c r="M5" s="2" t="s">
        <v>268</v>
      </c>
      <c r="N5" s="2" t="s">
        <v>263</v>
      </c>
      <c r="O5" s="2" t="s">
        <v>135</v>
      </c>
      <c r="P5" s="2" t="s">
        <v>160</v>
      </c>
      <c r="Q5" s="23" t="s">
        <v>134</v>
      </c>
      <c r="R5" t="s">
        <v>441</v>
      </c>
      <c r="W5" s="31" t="s">
        <v>441</v>
      </c>
    </row>
    <row r="6" spans="1:23" ht="24" x14ac:dyDescent="0.25">
      <c r="A6" s="1">
        <f t="shared" si="0"/>
        <v>3</v>
      </c>
      <c r="B6" s="17">
        <v>46169</v>
      </c>
      <c r="C6" s="1" t="s">
        <v>116</v>
      </c>
      <c r="D6" s="1" t="s">
        <v>111</v>
      </c>
      <c r="E6" s="1" t="s">
        <v>434</v>
      </c>
      <c r="F6" s="26" t="s">
        <v>441</v>
      </c>
      <c r="G6" s="26" t="s">
        <v>117</v>
      </c>
      <c r="H6" s="1"/>
      <c r="I6" s="1" t="s">
        <v>405</v>
      </c>
      <c r="J6" s="1" t="s">
        <v>117</v>
      </c>
      <c r="K6" s="1" t="s">
        <v>222</v>
      </c>
      <c r="L6" s="1" t="s">
        <v>120</v>
      </c>
      <c r="M6" s="1"/>
      <c r="N6" s="2" t="s">
        <v>263</v>
      </c>
      <c r="O6" s="1" t="s">
        <v>135</v>
      </c>
      <c r="P6" s="1" t="s">
        <v>160</v>
      </c>
      <c r="W6" t="s">
        <v>443</v>
      </c>
    </row>
    <row r="7" spans="1:23" ht="84" x14ac:dyDescent="0.25">
      <c r="A7" s="2">
        <f t="shared" si="0"/>
        <v>4</v>
      </c>
      <c r="B7" s="30">
        <v>46169</v>
      </c>
      <c r="C7" s="2" t="s">
        <v>116</v>
      </c>
      <c r="D7" s="2" t="s">
        <v>111</v>
      </c>
      <c r="E7" s="2" t="s">
        <v>435</v>
      </c>
      <c r="F7" s="27" t="s">
        <v>441</v>
      </c>
      <c r="G7" s="27" t="s">
        <v>121</v>
      </c>
      <c r="H7" s="2" t="s">
        <v>122</v>
      </c>
      <c r="I7" s="2" t="s">
        <v>405</v>
      </c>
      <c r="J7" s="2" t="s">
        <v>167</v>
      </c>
      <c r="K7" s="1" t="s">
        <v>222</v>
      </c>
      <c r="L7" s="2" t="s">
        <v>123</v>
      </c>
      <c r="M7" s="2" t="s">
        <v>124</v>
      </c>
      <c r="N7" s="2" t="s">
        <v>125</v>
      </c>
      <c r="O7" s="2" t="s">
        <v>135</v>
      </c>
      <c r="P7" s="2" t="s">
        <v>160</v>
      </c>
      <c r="Q7" s="23"/>
      <c r="W7" s="31" t="s">
        <v>455</v>
      </c>
    </row>
    <row r="8" spans="1:23" x14ac:dyDescent="0.25">
      <c r="A8" s="1">
        <f t="shared" si="0"/>
        <v>5</v>
      </c>
      <c r="B8" s="17">
        <v>46169</v>
      </c>
      <c r="C8" s="1" t="s">
        <v>116</v>
      </c>
      <c r="D8" s="1" t="s">
        <v>111</v>
      </c>
      <c r="E8" s="1" t="s">
        <v>435</v>
      </c>
      <c r="F8" s="26" t="s">
        <v>441</v>
      </c>
      <c r="G8" s="26" t="s">
        <v>126</v>
      </c>
      <c r="H8" s="1" t="s">
        <v>127</v>
      </c>
      <c r="I8" s="1" t="s">
        <v>405</v>
      </c>
      <c r="J8" s="1" t="s">
        <v>165</v>
      </c>
      <c r="K8" s="1" t="s">
        <v>222</v>
      </c>
      <c r="L8" s="1" t="s">
        <v>129</v>
      </c>
      <c r="M8" s="1"/>
      <c r="N8" s="2" t="s">
        <v>263</v>
      </c>
      <c r="O8" s="1" t="s">
        <v>135</v>
      </c>
      <c r="P8" s="1" t="s">
        <v>160</v>
      </c>
    </row>
    <row r="9" spans="1:23" ht="24" x14ac:dyDescent="0.25">
      <c r="A9" s="2">
        <f t="shared" si="0"/>
        <v>6</v>
      </c>
      <c r="B9" s="30">
        <v>46169</v>
      </c>
      <c r="C9" s="2" t="s">
        <v>116</v>
      </c>
      <c r="D9" s="2" t="s">
        <v>111</v>
      </c>
      <c r="E9" s="2" t="s">
        <v>445</v>
      </c>
      <c r="F9" s="27" t="s">
        <v>441</v>
      </c>
      <c r="G9" s="27" t="s">
        <v>320</v>
      </c>
      <c r="H9" s="2" t="s">
        <v>128</v>
      </c>
      <c r="I9" s="2" t="s">
        <v>119</v>
      </c>
      <c r="J9" s="2" t="s">
        <v>165</v>
      </c>
      <c r="K9" s="1" t="s">
        <v>222</v>
      </c>
      <c r="L9" s="2" t="s">
        <v>129</v>
      </c>
      <c r="M9" s="2" t="s">
        <v>130</v>
      </c>
      <c r="N9" s="2" t="s">
        <v>263</v>
      </c>
      <c r="O9" s="2" t="s">
        <v>135</v>
      </c>
      <c r="P9" s="2" t="s">
        <v>160</v>
      </c>
      <c r="Q9" s="23"/>
      <c r="W9" s="31"/>
    </row>
    <row r="10" spans="1:23" ht="36" x14ac:dyDescent="0.25">
      <c r="A10" s="1">
        <f t="shared" si="0"/>
        <v>7</v>
      </c>
      <c r="B10" s="17">
        <v>46169</v>
      </c>
      <c r="C10" s="1" t="s">
        <v>116</v>
      </c>
      <c r="D10" s="1" t="s">
        <v>111</v>
      </c>
      <c r="E10" s="1" t="s">
        <v>446</v>
      </c>
      <c r="F10" s="26" t="s">
        <v>441</v>
      </c>
      <c r="G10" s="26" t="s">
        <v>170</v>
      </c>
      <c r="H10" s="1" t="s">
        <v>131</v>
      </c>
      <c r="I10" s="1" t="s">
        <v>405</v>
      </c>
      <c r="J10" s="1" t="s">
        <v>165</v>
      </c>
      <c r="K10" s="1" t="s">
        <v>222</v>
      </c>
      <c r="L10" s="1"/>
      <c r="M10" s="1"/>
      <c r="N10" s="2" t="s">
        <v>132</v>
      </c>
      <c r="O10" s="1" t="s">
        <v>135</v>
      </c>
      <c r="P10" s="1" t="s">
        <v>160</v>
      </c>
    </row>
    <row r="11" spans="1:23" x14ac:dyDescent="0.25">
      <c r="A11" s="2">
        <f t="shared" si="0"/>
        <v>8</v>
      </c>
      <c r="B11" s="30">
        <v>46169</v>
      </c>
      <c r="C11" s="2" t="s">
        <v>116</v>
      </c>
      <c r="D11" s="2" t="s">
        <v>111</v>
      </c>
      <c r="E11" s="2" t="s">
        <v>435</v>
      </c>
      <c r="F11" s="27" t="s">
        <v>441</v>
      </c>
      <c r="G11" s="27" t="s">
        <v>321</v>
      </c>
      <c r="H11" s="2" t="s">
        <v>133</v>
      </c>
      <c r="I11" s="2" t="s">
        <v>405</v>
      </c>
      <c r="J11" s="2" t="s">
        <v>165</v>
      </c>
      <c r="K11" s="1" t="s">
        <v>222</v>
      </c>
      <c r="L11" s="2" t="s">
        <v>129</v>
      </c>
      <c r="M11" s="2"/>
      <c r="N11" s="2" t="s">
        <v>263</v>
      </c>
      <c r="O11" s="2" t="s">
        <v>135</v>
      </c>
      <c r="P11" s="2" t="s">
        <v>160</v>
      </c>
      <c r="Q11" s="23"/>
      <c r="W11" s="31"/>
    </row>
    <row r="12" spans="1:23" ht="60" x14ac:dyDescent="0.25">
      <c r="A12" s="1">
        <f t="shared" si="0"/>
        <v>9</v>
      </c>
      <c r="B12" s="17">
        <v>46169</v>
      </c>
      <c r="C12" s="1" t="s">
        <v>116</v>
      </c>
      <c r="D12" s="1" t="s">
        <v>111</v>
      </c>
      <c r="E12" s="1" t="s">
        <v>433</v>
      </c>
      <c r="F12" s="26" t="s">
        <v>441</v>
      </c>
      <c r="G12" s="26" t="s">
        <v>137</v>
      </c>
      <c r="H12" s="1" t="s">
        <v>140</v>
      </c>
      <c r="I12" s="1" t="s">
        <v>405</v>
      </c>
      <c r="J12" s="1" t="s">
        <v>150</v>
      </c>
      <c r="K12" s="1" t="s">
        <v>222</v>
      </c>
      <c r="L12" s="1" t="s">
        <v>129</v>
      </c>
      <c r="M12" s="1" t="s">
        <v>139</v>
      </c>
      <c r="N12" s="2" t="s">
        <v>263</v>
      </c>
      <c r="O12" s="1" t="s">
        <v>138</v>
      </c>
      <c r="P12" s="1" t="s">
        <v>160</v>
      </c>
    </row>
    <row r="13" spans="1:23" ht="105" x14ac:dyDescent="0.25">
      <c r="A13" s="2">
        <f t="shared" si="0"/>
        <v>10</v>
      </c>
      <c r="B13" s="30">
        <v>46170</v>
      </c>
      <c r="C13" s="2" t="s">
        <v>141</v>
      </c>
      <c r="D13" s="2" t="s">
        <v>161</v>
      </c>
      <c r="E13" s="2" t="s">
        <v>437</v>
      </c>
      <c r="F13" s="27" t="s">
        <v>443</v>
      </c>
      <c r="G13" s="27" t="s">
        <v>143</v>
      </c>
      <c r="H13" s="2" t="s">
        <v>324</v>
      </c>
      <c r="I13" s="2" t="s">
        <v>144</v>
      </c>
      <c r="J13" s="2" t="s">
        <v>219</v>
      </c>
      <c r="K13" s="1" t="s">
        <v>222</v>
      </c>
      <c r="L13" s="2" t="s">
        <v>120</v>
      </c>
      <c r="M13" s="2" t="s">
        <v>145</v>
      </c>
      <c r="N13" s="2" t="s">
        <v>132</v>
      </c>
      <c r="O13" s="2" t="s">
        <v>262</v>
      </c>
      <c r="P13" s="2" t="s">
        <v>153</v>
      </c>
      <c r="Q13" s="23" t="s">
        <v>148</v>
      </c>
      <c r="W13" s="31"/>
    </row>
    <row r="14" spans="1:23" ht="21.95" customHeight="1" x14ac:dyDescent="0.25">
      <c r="A14" s="1">
        <f t="shared" si="0"/>
        <v>11</v>
      </c>
      <c r="B14" s="17">
        <v>46170</v>
      </c>
      <c r="C14" s="1" t="s">
        <v>141</v>
      </c>
      <c r="D14" s="1" t="s">
        <v>161</v>
      </c>
      <c r="E14" s="1" t="s">
        <v>438</v>
      </c>
      <c r="F14" s="26" t="s">
        <v>443</v>
      </c>
      <c r="G14" s="26" t="s">
        <v>322</v>
      </c>
      <c r="H14" s="1" t="s">
        <v>146</v>
      </c>
      <c r="I14" s="1" t="s">
        <v>119</v>
      </c>
      <c r="J14" s="1" t="s">
        <v>166</v>
      </c>
      <c r="K14" s="1" t="s">
        <v>222</v>
      </c>
      <c r="L14" s="1" t="s">
        <v>147</v>
      </c>
      <c r="M14" s="1" t="s">
        <v>145</v>
      </c>
      <c r="N14" s="2" t="s">
        <v>264</v>
      </c>
      <c r="O14" s="1" t="s">
        <v>160</v>
      </c>
      <c r="P14" s="1"/>
    </row>
    <row r="15" spans="1:23" ht="30" x14ac:dyDescent="0.25">
      <c r="A15" s="2">
        <f t="shared" si="0"/>
        <v>12</v>
      </c>
      <c r="B15" s="30">
        <v>46170</v>
      </c>
      <c r="C15" s="2" t="s">
        <v>141</v>
      </c>
      <c r="D15" s="2" t="s">
        <v>142</v>
      </c>
      <c r="E15" s="2" t="s">
        <v>439</v>
      </c>
      <c r="F15" s="27" t="s">
        <v>441</v>
      </c>
      <c r="G15" s="27" t="s">
        <v>323</v>
      </c>
      <c r="H15" s="2" t="s">
        <v>162</v>
      </c>
      <c r="I15" s="2" t="s">
        <v>144</v>
      </c>
      <c r="J15" s="2" t="s">
        <v>150</v>
      </c>
      <c r="K15" s="1" t="s">
        <v>406</v>
      </c>
      <c r="L15" s="2" t="s">
        <v>129</v>
      </c>
      <c r="M15" s="2"/>
      <c r="N15" s="2" t="s">
        <v>263</v>
      </c>
      <c r="O15" s="2" t="s">
        <v>151</v>
      </c>
      <c r="P15" s="2"/>
      <c r="Q15" s="23" t="s">
        <v>149</v>
      </c>
      <c r="W15" s="31"/>
    </row>
    <row r="16" spans="1:23" ht="21.95" customHeight="1" x14ac:dyDescent="0.25">
      <c r="A16" s="1">
        <f t="shared" si="0"/>
        <v>13</v>
      </c>
      <c r="B16" s="17">
        <v>46170</v>
      </c>
      <c r="C16" s="1" t="s">
        <v>141</v>
      </c>
      <c r="D16" s="1" t="s">
        <v>161</v>
      </c>
      <c r="E16" s="1" t="s">
        <v>437</v>
      </c>
      <c r="F16" s="26" t="s">
        <v>441</v>
      </c>
      <c r="G16" s="26" t="s">
        <v>170</v>
      </c>
      <c r="H16" s="1" t="s">
        <v>152</v>
      </c>
      <c r="I16" s="1" t="s">
        <v>405</v>
      </c>
      <c r="J16" s="1" t="s">
        <v>165</v>
      </c>
      <c r="K16" s="1" t="s">
        <v>222</v>
      </c>
      <c r="L16" s="1" t="s">
        <v>266</v>
      </c>
      <c r="M16" s="1" t="s">
        <v>161</v>
      </c>
      <c r="N16" s="2" t="s">
        <v>263</v>
      </c>
      <c r="O16" s="1"/>
      <c r="P16" s="1"/>
    </row>
    <row r="17" spans="1:23" ht="24" x14ac:dyDescent="0.25">
      <c r="A17" s="2">
        <f t="shared" si="0"/>
        <v>14</v>
      </c>
      <c r="B17" s="30">
        <v>46170</v>
      </c>
      <c r="C17" s="2" t="s">
        <v>141</v>
      </c>
      <c r="D17" s="2" t="s">
        <v>161</v>
      </c>
      <c r="E17" s="2" t="s">
        <v>440</v>
      </c>
      <c r="F17" s="27" t="s">
        <v>441</v>
      </c>
      <c r="G17" s="27" t="s">
        <v>164</v>
      </c>
      <c r="H17" s="2" t="s">
        <v>155</v>
      </c>
      <c r="I17" s="2" t="s">
        <v>405</v>
      </c>
      <c r="J17" s="2" t="s">
        <v>164</v>
      </c>
      <c r="K17" s="1" t="s">
        <v>222</v>
      </c>
      <c r="L17" s="2" t="s">
        <v>120</v>
      </c>
      <c r="M17" s="2" t="s">
        <v>156</v>
      </c>
      <c r="N17" s="2" t="s">
        <v>270</v>
      </c>
      <c r="O17" s="2" t="s">
        <v>163</v>
      </c>
      <c r="P17" s="2" t="s">
        <v>135</v>
      </c>
      <c r="Q17" s="23"/>
      <c r="W17" s="31"/>
    </row>
    <row r="18" spans="1:23" ht="24" x14ac:dyDescent="0.25">
      <c r="A18" s="1">
        <f t="shared" si="0"/>
        <v>15</v>
      </c>
      <c r="B18" s="17">
        <v>46170</v>
      </c>
      <c r="C18" s="1" t="s">
        <v>141</v>
      </c>
      <c r="D18" s="1" t="s">
        <v>161</v>
      </c>
      <c r="E18" s="1" t="s">
        <v>437</v>
      </c>
      <c r="F18" s="26" t="s">
        <v>443</v>
      </c>
      <c r="G18" s="26" t="s">
        <v>154</v>
      </c>
      <c r="H18" s="1" t="s">
        <v>157</v>
      </c>
      <c r="I18" s="1" t="s">
        <v>405</v>
      </c>
      <c r="J18" s="1" t="s">
        <v>169</v>
      </c>
      <c r="K18" s="1" t="s">
        <v>277</v>
      </c>
      <c r="L18" s="1" t="s">
        <v>123</v>
      </c>
      <c r="M18" s="1" t="s">
        <v>158</v>
      </c>
      <c r="N18" s="2" t="s">
        <v>263</v>
      </c>
      <c r="O18" s="1" t="s">
        <v>278</v>
      </c>
      <c r="P18" s="1" t="s">
        <v>160</v>
      </c>
      <c r="Q18" t="s">
        <v>159</v>
      </c>
    </row>
    <row r="19" spans="1:23" ht="48" x14ac:dyDescent="0.25">
      <c r="A19" s="2">
        <f t="shared" si="0"/>
        <v>16</v>
      </c>
      <c r="B19" s="30">
        <v>46170</v>
      </c>
      <c r="C19" s="2" t="s">
        <v>218</v>
      </c>
      <c r="D19" s="2" t="s">
        <v>197</v>
      </c>
      <c r="E19" s="2" t="s">
        <v>448</v>
      </c>
      <c r="F19" s="27" t="s">
        <v>443</v>
      </c>
      <c r="G19" s="27" t="s">
        <v>404</v>
      </c>
      <c r="H19" s="2" t="s">
        <v>450</v>
      </c>
      <c r="I19" s="2" t="s">
        <v>405</v>
      </c>
      <c r="J19" s="2" t="s">
        <v>184</v>
      </c>
      <c r="K19" s="1" t="s">
        <v>222</v>
      </c>
      <c r="L19" s="2" t="s">
        <v>180</v>
      </c>
      <c r="M19" s="2" t="s">
        <v>193</v>
      </c>
      <c r="N19" s="2" t="s">
        <v>263</v>
      </c>
      <c r="O19" s="2" t="s">
        <v>278</v>
      </c>
      <c r="P19" s="2" t="s">
        <v>160</v>
      </c>
      <c r="Q19" s="23" t="s">
        <v>171</v>
      </c>
      <c r="W19" s="31"/>
    </row>
    <row r="20" spans="1:23" ht="21.95" customHeight="1" x14ac:dyDescent="0.25">
      <c r="A20" s="1">
        <f t="shared" si="0"/>
        <v>17</v>
      </c>
      <c r="B20" s="17">
        <v>46170</v>
      </c>
      <c r="C20" s="1" t="s">
        <v>218</v>
      </c>
      <c r="D20" s="1" t="s">
        <v>197</v>
      </c>
      <c r="E20" s="1" t="s">
        <v>447</v>
      </c>
      <c r="F20" s="26" t="s">
        <v>441</v>
      </c>
      <c r="G20" s="26" t="s">
        <v>399</v>
      </c>
      <c r="H20" s="1" t="s">
        <v>176</v>
      </c>
      <c r="I20" s="1" t="s">
        <v>405</v>
      </c>
      <c r="J20" s="1" t="s">
        <v>183</v>
      </c>
      <c r="K20" s="1" t="s">
        <v>222</v>
      </c>
      <c r="L20" s="1" t="s">
        <v>180</v>
      </c>
      <c r="M20" s="1" t="s">
        <v>198</v>
      </c>
      <c r="N20" s="2" t="s">
        <v>263</v>
      </c>
      <c r="O20" s="1" t="s">
        <v>278</v>
      </c>
      <c r="P20" s="1" t="s">
        <v>200</v>
      </c>
    </row>
    <row r="21" spans="1:23" ht="36" x14ac:dyDescent="0.25">
      <c r="A21" s="2"/>
      <c r="B21" s="30">
        <v>46170</v>
      </c>
      <c r="C21" s="2" t="s">
        <v>218</v>
      </c>
      <c r="D21" s="2" t="s">
        <v>197</v>
      </c>
      <c r="E21" s="2" t="s">
        <v>448</v>
      </c>
      <c r="F21" s="27" t="s">
        <v>441</v>
      </c>
      <c r="G21" s="27" t="s">
        <v>400</v>
      </c>
      <c r="H21" s="2" t="s">
        <v>181</v>
      </c>
      <c r="I21" s="2" t="s">
        <v>405</v>
      </c>
      <c r="J21" s="2" t="s">
        <v>175</v>
      </c>
      <c r="K21" s="1" t="s">
        <v>222</v>
      </c>
      <c r="L21" s="2" t="s">
        <v>129</v>
      </c>
      <c r="M21" s="2" t="s">
        <v>199</v>
      </c>
      <c r="N21" s="2" t="s">
        <v>263</v>
      </c>
      <c r="O21" s="2" t="s">
        <v>278</v>
      </c>
      <c r="P21" s="2"/>
      <c r="Q21" s="23"/>
      <c r="W21" s="31"/>
    </row>
    <row r="22" spans="1:23" ht="21.95" customHeight="1" x14ac:dyDescent="0.25">
      <c r="A22" s="1">
        <f t="shared" si="0"/>
        <v>19</v>
      </c>
      <c r="B22" s="17">
        <v>46170</v>
      </c>
      <c r="C22" s="1" t="s">
        <v>218</v>
      </c>
      <c r="D22" s="1" t="s">
        <v>197</v>
      </c>
      <c r="E22" s="1" t="s">
        <v>447</v>
      </c>
      <c r="F22" s="26" t="s">
        <v>441</v>
      </c>
      <c r="G22" s="26" t="s">
        <v>172</v>
      </c>
      <c r="H22" s="1" t="s">
        <v>177</v>
      </c>
      <c r="I22" s="1" t="s">
        <v>405</v>
      </c>
      <c r="J22" s="1" t="s">
        <v>175</v>
      </c>
      <c r="K22" s="1" t="s">
        <v>222</v>
      </c>
      <c r="L22" s="1" t="s">
        <v>180</v>
      </c>
      <c r="M22" s="1" t="s">
        <v>198</v>
      </c>
      <c r="N22" s="2" t="s">
        <v>263</v>
      </c>
      <c r="O22" s="1" t="s">
        <v>278</v>
      </c>
      <c r="P22" s="1" t="s">
        <v>160</v>
      </c>
    </row>
    <row r="23" spans="1:23" ht="24" x14ac:dyDescent="0.25">
      <c r="A23" s="2">
        <f t="shared" si="0"/>
        <v>20</v>
      </c>
      <c r="B23" s="30">
        <v>46170</v>
      </c>
      <c r="C23" s="2" t="s">
        <v>218</v>
      </c>
      <c r="D23" s="2" t="s">
        <v>197</v>
      </c>
      <c r="E23" s="2" t="s">
        <v>448</v>
      </c>
      <c r="F23" s="27" t="s">
        <v>441</v>
      </c>
      <c r="G23" s="27" t="s">
        <v>173</v>
      </c>
      <c r="H23" s="2" t="s">
        <v>178</v>
      </c>
      <c r="I23" s="2" t="s">
        <v>405</v>
      </c>
      <c r="J23" s="2" t="s">
        <v>175</v>
      </c>
      <c r="K23" s="1" t="s">
        <v>222</v>
      </c>
      <c r="L23" s="2" t="s">
        <v>129</v>
      </c>
      <c r="M23" s="2" t="s">
        <v>198</v>
      </c>
      <c r="N23" s="2" t="s">
        <v>263</v>
      </c>
      <c r="O23" s="2" t="s">
        <v>278</v>
      </c>
      <c r="P23" s="2" t="s">
        <v>160</v>
      </c>
      <c r="Q23" s="23"/>
      <c r="W23" s="31"/>
    </row>
    <row r="24" spans="1:23" ht="21.95" customHeight="1" x14ac:dyDescent="0.25">
      <c r="A24" s="1">
        <f t="shared" si="0"/>
        <v>21</v>
      </c>
      <c r="B24" s="17">
        <v>46170</v>
      </c>
      <c r="C24" s="1" t="s">
        <v>218</v>
      </c>
      <c r="D24" s="1" t="s">
        <v>197</v>
      </c>
      <c r="E24" s="1" t="s">
        <v>447</v>
      </c>
      <c r="F24" s="26" t="s">
        <v>441</v>
      </c>
      <c r="G24" s="26" t="s">
        <v>174</v>
      </c>
      <c r="H24" s="1" t="s">
        <v>182</v>
      </c>
      <c r="I24" s="1" t="s">
        <v>405</v>
      </c>
      <c r="J24" s="1" t="s">
        <v>175</v>
      </c>
      <c r="K24" s="1" t="s">
        <v>222</v>
      </c>
      <c r="L24" s="1" t="s">
        <v>129</v>
      </c>
      <c r="M24" s="1" t="s">
        <v>198</v>
      </c>
      <c r="N24" s="2" t="s">
        <v>263</v>
      </c>
      <c r="O24" s="1" t="s">
        <v>278</v>
      </c>
      <c r="P24" s="1" t="s">
        <v>160</v>
      </c>
      <c r="Q24" t="s">
        <v>179</v>
      </c>
    </row>
    <row r="25" spans="1:23" ht="24" x14ac:dyDescent="0.25">
      <c r="A25" s="2">
        <f t="shared" si="0"/>
        <v>22</v>
      </c>
      <c r="B25" s="30">
        <v>46170</v>
      </c>
      <c r="C25" s="2" t="s">
        <v>218</v>
      </c>
      <c r="D25" s="2" t="s">
        <v>197</v>
      </c>
      <c r="E25" s="2" t="s">
        <v>448</v>
      </c>
      <c r="F25" s="27" t="s">
        <v>441</v>
      </c>
      <c r="G25" s="27" t="s">
        <v>186</v>
      </c>
      <c r="H25" s="2" t="s">
        <v>185</v>
      </c>
      <c r="I25" s="2" t="s">
        <v>405</v>
      </c>
      <c r="J25" s="2" t="s">
        <v>190</v>
      </c>
      <c r="K25" s="1" t="s">
        <v>222</v>
      </c>
      <c r="L25" s="2" t="s">
        <v>187</v>
      </c>
      <c r="M25" s="2" t="s">
        <v>197</v>
      </c>
      <c r="N25" s="2" t="s">
        <v>263</v>
      </c>
      <c r="O25" s="2" t="s">
        <v>278</v>
      </c>
      <c r="P25" s="2" t="s">
        <v>160</v>
      </c>
      <c r="Q25" s="23"/>
      <c r="W25" s="31"/>
    </row>
    <row r="26" spans="1:23" ht="21.95" customHeight="1" x14ac:dyDescent="0.25">
      <c r="A26" s="1">
        <f t="shared" si="0"/>
        <v>23</v>
      </c>
      <c r="B26" s="17">
        <v>46170</v>
      </c>
      <c r="C26" s="1" t="s">
        <v>218</v>
      </c>
      <c r="D26" s="1" t="s">
        <v>197</v>
      </c>
      <c r="E26" s="1" t="s">
        <v>448</v>
      </c>
      <c r="F26" s="26" t="s">
        <v>441</v>
      </c>
      <c r="G26" s="26" t="s">
        <v>188</v>
      </c>
      <c r="H26" s="1" t="s">
        <v>189</v>
      </c>
      <c r="I26" s="1" t="s">
        <v>405</v>
      </c>
      <c r="J26" s="1" t="s">
        <v>220</v>
      </c>
      <c r="K26" s="1" t="s">
        <v>222</v>
      </c>
      <c r="L26" s="1" t="s">
        <v>120</v>
      </c>
      <c r="M26" s="1" t="s">
        <v>196</v>
      </c>
      <c r="N26" s="2" t="s">
        <v>263</v>
      </c>
      <c r="O26" s="1" t="s">
        <v>278</v>
      </c>
      <c r="P26" s="1" t="s">
        <v>160</v>
      </c>
    </row>
    <row r="27" spans="1:23" ht="24" x14ac:dyDescent="0.25">
      <c r="A27" s="2">
        <f t="shared" si="0"/>
        <v>24</v>
      </c>
      <c r="B27" s="30">
        <v>46170</v>
      </c>
      <c r="C27" s="2" t="s">
        <v>218</v>
      </c>
      <c r="D27" s="2" t="s">
        <v>197</v>
      </c>
      <c r="E27" s="2" t="s">
        <v>448</v>
      </c>
      <c r="F27" s="27" t="s">
        <v>441</v>
      </c>
      <c r="G27" s="27" t="s">
        <v>191</v>
      </c>
      <c r="H27" s="2" t="s">
        <v>221</v>
      </c>
      <c r="I27" s="2" t="s">
        <v>405</v>
      </c>
      <c r="J27" s="2" t="s">
        <v>191</v>
      </c>
      <c r="K27" s="1" t="s">
        <v>222</v>
      </c>
      <c r="L27" s="2" t="s">
        <v>129</v>
      </c>
      <c r="M27" s="2" t="s">
        <v>194</v>
      </c>
      <c r="N27" s="2" t="s">
        <v>263</v>
      </c>
      <c r="O27" s="2" t="s">
        <v>195</v>
      </c>
      <c r="P27" s="2" t="s">
        <v>160</v>
      </c>
      <c r="Q27" s="23"/>
      <c r="W27" s="31"/>
    </row>
    <row r="28" spans="1:23" ht="21.95" customHeight="1" x14ac:dyDescent="0.25">
      <c r="A28" s="1">
        <f t="shared" si="0"/>
        <v>25</v>
      </c>
      <c r="B28" s="17">
        <v>46170</v>
      </c>
      <c r="C28" s="1" t="s">
        <v>218</v>
      </c>
      <c r="D28" s="1" t="s">
        <v>197</v>
      </c>
      <c r="E28" s="1" t="s">
        <v>448</v>
      </c>
      <c r="F28" s="26" t="s">
        <v>441</v>
      </c>
      <c r="G28" s="26" t="s">
        <v>401</v>
      </c>
      <c r="H28" s="1" t="s">
        <v>192</v>
      </c>
      <c r="I28" s="1" t="s">
        <v>405</v>
      </c>
      <c r="J28" s="1"/>
      <c r="K28" s="1" t="s">
        <v>222</v>
      </c>
      <c r="L28" s="1" t="s">
        <v>129</v>
      </c>
      <c r="M28" s="1" t="s">
        <v>197</v>
      </c>
      <c r="N28" s="2" t="s">
        <v>263</v>
      </c>
      <c r="O28" s="1"/>
      <c r="P28" s="1" t="s">
        <v>160</v>
      </c>
    </row>
    <row r="29" spans="1:23" ht="105" x14ac:dyDescent="0.25">
      <c r="A29" s="2">
        <f t="shared" si="0"/>
        <v>26</v>
      </c>
      <c r="B29" s="30">
        <v>46170</v>
      </c>
      <c r="C29" s="2" t="s">
        <v>218</v>
      </c>
      <c r="D29" s="2" t="s">
        <v>197</v>
      </c>
      <c r="E29" s="2" t="s">
        <v>448</v>
      </c>
      <c r="F29" s="27" t="s">
        <v>443</v>
      </c>
      <c r="G29" s="27" t="s">
        <v>154</v>
      </c>
      <c r="H29" s="2" t="s">
        <v>157</v>
      </c>
      <c r="I29" s="2" t="s">
        <v>405</v>
      </c>
      <c r="J29" s="2" t="s">
        <v>169</v>
      </c>
      <c r="K29" s="1" t="s">
        <v>277</v>
      </c>
      <c r="L29" s="2" t="s">
        <v>123</v>
      </c>
      <c r="M29" s="2" t="s">
        <v>158</v>
      </c>
      <c r="N29" s="2" t="s">
        <v>263</v>
      </c>
      <c r="O29" s="2" t="s">
        <v>278</v>
      </c>
      <c r="P29" s="2" t="s">
        <v>160</v>
      </c>
      <c r="Q29" s="23" t="s">
        <v>159</v>
      </c>
      <c r="W29" s="31"/>
    </row>
    <row r="30" spans="1:23" ht="21.95" customHeight="1" x14ac:dyDescent="0.25">
      <c r="A30" s="1">
        <f t="shared" si="0"/>
        <v>27</v>
      </c>
      <c r="B30" s="17">
        <v>46171</v>
      </c>
      <c r="C30" s="1" t="s">
        <v>202</v>
      </c>
      <c r="D30" s="1" t="s">
        <v>201</v>
      </c>
      <c r="E30" s="1" t="s">
        <v>449</v>
      </c>
      <c r="F30" s="26" t="s">
        <v>443</v>
      </c>
      <c r="G30" s="26" t="s">
        <v>170</v>
      </c>
      <c r="H30" s="1" t="s">
        <v>203</v>
      </c>
      <c r="I30" s="1" t="s">
        <v>405</v>
      </c>
      <c r="J30" s="1" t="s">
        <v>274</v>
      </c>
      <c r="K30" s="1" t="s">
        <v>222</v>
      </c>
      <c r="L30" s="1" t="s">
        <v>208</v>
      </c>
      <c r="M30" s="1" t="s">
        <v>268</v>
      </c>
      <c r="N30" s="2" t="s">
        <v>263</v>
      </c>
      <c r="O30" s="1"/>
      <c r="P30" s="1"/>
    </row>
    <row r="31" spans="1:23" ht="36" x14ac:dyDescent="0.25">
      <c r="A31" s="2">
        <f t="shared" si="0"/>
        <v>28</v>
      </c>
      <c r="B31" s="30">
        <v>46171</v>
      </c>
      <c r="C31" s="2" t="s">
        <v>202</v>
      </c>
      <c r="D31" s="2" t="s">
        <v>201</v>
      </c>
      <c r="E31" s="2" t="s">
        <v>449</v>
      </c>
      <c r="F31" s="27" t="s">
        <v>441</v>
      </c>
      <c r="G31" s="27" t="s">
        <v>402</v>
      </c>
      <c r="H31" s="2" t="s">
        <v>205</v>
      </c>
      <c r="I31" s="2"/>
      <c r="J31" s="2" t="s">
        <v>207</v>
      </c>
      <c r="K31" s="1" t="s">
        <v>222</v>
      </c>
      <c r="L31" s="2" t="s">
        <v>129</v>
      </c>
      <c r="M31" s="2"/>
      <c r="N31" s="2" t="s">
        <v>201</v>
      </c>
      <c r="O31" s="2"/>
      <c r="P31" s="2" t="s">
        <v>200</v>
      </c>
      <c r="Q31" s="23"/>
      <c r="W31" s="31"/>
    </row>
    <row r="32" spans="1:23" ht="21.95" customHeight="1" x14ac:dyDescent="0.25">
      <c r="A32" s="1">
        <f t="shared" si="0"/>
        <v>29</v>
      </c>
      <c r="B32" s="17">
        <v>46171</v>
      </c>
      <c r="C32" s="1" t="s">
        <v>202</v>
      </c>
      <c r="D32" s="1" t="s">
        <v>201</v>
      </c>
      <c r="E32" s="1" t="s">
        <v>451</v>
      </c>
      <c r="F32" s="26" t="s">
        <v>441</v>
      </c>
      <c r="G32" s="26" t="s">
        <v>321</v>
      </c>
      <c r="H32" s="1" t="s">
        <v>206</v>
      </c>
      <c r="I32" s="1" t="s">
        <v>405</v>
      </c>
      <c r="J32" s="1" t="s">
        <v>165</v>
      </c>
      <c r="K32" s="1" t="s">
        <v>222</v>
      </c>
      <c r="L32" s="1" t="s">
        <v>267</v>
      </c>
      <c r="M32" s="1" t="s">
        <v>268</v>
      </c>
      <c r="N32" s="2" t="s">
        <v>270</v>
      </c>
      <c r="O32" s="1"/>
      <c r="P32" s="1"/>
    </row>
    <row r="33" spans="1:23" ht="36" x14ac:dyDescent="0.25">
      <c r="A33" s="2">
        <f t="shared" ref="A33:A76" si="1">ROW()-3</f>
        <v>30</v>
      </c>
      <c r="B33" s="30">
        <v>46171</v>
      </c>
      <c r="C33" s="2" t="s">
        <v>202</v>
      </c>
      <c r="D33" s="2" t="s">
        <v>201</v>
      </c>
      <c r="E33" s="2" t="s">
        <v>452</v>
      </c>
      <c r="F33" s="27" t="s">
        <v>441</v>
      </c>
      <c r="G33" s="27" t="s">
        <v>209</v>
      </c>
      <c r="H33" s="2" t="s">
        <v>210</v>
      </c>
      <c r="I33" s="2" t="s">
        <v>119</v>
      </c>
      <c r="J33" s="2" t="s">
        <v>275</v>
      </c>
      <c r="K33" s="1" t="s">
        <v>222</v>
      </c>
      <c r="L33" s="2" t="s">
        <v>187</v>
      </c>
      <c r="M33" s="2" t="s">
        <v>211</v>
      </c>
      <c r="N33" s="2" t="s">
        <v>271</v>
      </c>
      <c r="O33" s="2" t="s">
        <v>144</v>
      </c>
      <c r="P33" s="2" t="s">
        <v>160</v>
      </c>
      <c r="Q33" s="23"/>
      <c r="W33" s="31"/>
    </row>
    <row r="34" spans="1:23" ht="21.95" customHeight="1" x14ac:dyDescent="0.25">
      <c r="A34" s="1">
        <f t="shared" si="1"/>
        <v>31</v>
      </c>
      <c r="B34" s="17">
        <v>46171</v>
      </c>
      <c r="C34" s="1" t="s">
        <v>202</v>
      </c>
      <c r="D34" s="1" t="s">
        <v>407</v>
      </c>
      <c r="E34" s="1" t="s">
        <v>453</v>
      </c>
      <c r="F34" s="26" t="s">
        <v>441</v>
      </c>
      <c r="G34" s="26" t="s">
        <v>403</v>
      </c>
      <c r="H34" s="1" t="s">
        <v>213</v>
      </c>
      <c r="I34" s="1" t="s">
        <v>119</v>
      </c>
      <c r="J34" s="1" t="s">
        <v>279</v>
      </c>
      <c r="K34" s="1" t="s">
        <v>222</v>
      </c>
      <c r="L34" s="1" t="s">
        <v>214</v>
      </c>
      <c r="M34" s="1" t="s">
        <v>212</v>
      </c>
      <c r="N34" s="2" t="s">
        <v>270</v>
      </c>
      <c r="O34" s="1"/>
      <c r="P34" s="1" t="s">
        <v>160</v>
      </c>
    </row>
    <row r="35" spans="1:23" ht="24" x14ac:dyDescent="0.25">
      <c r="A35" s="2">
        <f t="shared" si="1"/>
        <v>32</v>
      </c>
      <c r="B35" s="30">
        <v>46171</v>
      </c>
      <c r="C35" s="2" t="s">
        <v>202</v>
      </c>
      <c r="D35" s="2" t="s">
        <v>407</v>
      </c>
      <c r="E35" s="2" t="s">
        <v>453</v>
      </c>
      <c r="F35" s="27" t="s">
        <v>443</v>
      </c>
      <c r="G35" s="27" t="s">
        <v>132</v>
      </c>
      <c r="H35" s="2" t="s">
        <v>217</v>
      </c>
      <c r="I35" s="2" t="s">
        <v>405</v>
      </c>
      <c r="J35" s="2" t="s">
        <v>280</v>
      </c>
      <c r="K35" s="1" t="s">
        <v>222</v>
      </c>
      <c r="L35" s="2" t="s">
        <v>187</v>
      </c>
      <c r="M35" s="2" t="s">
        <v>429</v>
      </c>
      <c r="N35" s="2"/>
      <c r="O35" s="2"/>
      <c r="P35" s="2"/>
      <c r="Q35" s="23"/>
      <c r="W35" s="31"/>
    </row>
    <row r="36" spans="1:23" ht="21.95" customHeight="1" x14ac:dyDescent="0.25">
      <c r="A36" s="1">
        <f t="shared" si="1"/>
        <v>33</v>
      </c>
      <c r="B36" s="17">
        <v>46171</v>
      </c>
      <c r="C36" s="1" t="s">
        <v>202</v>
      </c>
      <c r="D36" s="1" t="s">
        <v>407</v>
      </c>
      <c r="E36" s="1" t="s">
        <v>453</v>
      </c>
      <c r="F36" s="26" t="s">
        <v>443</v>
      </c>
      <c r="G36" s="26" t="s">
        <v>170</v>
      </c>
      <c r="H36" s="1"/>
      <c r="I36" s="1" t="s">
        <v>405</v>
      </c>
      <c r="J36" s="1" t="s">
        <v>280</v>
      </c>
      <c r="K36" s="1" t="s">
        <v>222</v>
      </c>
      <c r="L36" s="1" t="s">
        <v>187</v>
      </c>
      <c r="M36" s="1" t="s">
        <v>429</v>
      </c>
      <c r="N36" s="2" t="s">
        <v>272</v>
      </c>
      <c r="O36" s="1"/>
      <c r="P36" s="1"/>
    </row>
    <row r="37" spans="1:23" ht="36" x14ac:dyDescent="0.25">
      <c r="A37" s="2">
        <f t="shared" si="1"/>
        <v>34</v>
      </c>
      <c r="B37" s="30">
        <v>46171</v>
      </c>
      <c r="C37" s="2" t="s">
        <v>202</v>
      </c>
      <c r="D37" s="2" t="s">
        <v>212</v>
      </c>
      <c r="E37" s="2" t="s">
        <v>453</v>
      </c>
      <c r="F37" s="27" t="s">
        <v>441</v>
      </c>
      <c r="G37" s="27" t="s">
        <v>323</v>
      </c>
      <c r="H37" s="2" t="s">
        <v>215</v>
      </c>
      <c r="I37" s="2" t="s">
        <v>119</v>
      </c>
      <c r="J37" s="2" t="s">
        <v>280</v>
      </c>
      <c r="K37" s="1" t="s">
        <v>406</v>
      </c>
      <c r="L37" s="2" t="s">
        <v>187</v>
      </c>
      <c r="M37" s="2" t="s">
        <v>216</v>
      </c>
      <c r="N37" s="2"/>
      <c r="O37" s="2" t="s">
        <v>204</v>
      </c>
      <c r="P37" s="2" t="s">
        <v>160</v>
      </c>
      <c r="Q37" s="23" t="s">
        <v>427</v>
      </c>
      <c r="W37" s="31"/>
    </row>
    <row r="38" spans="1:23" ht="21.95" customHeight="1" x14ac:dyDescent="0.25">
      <c r="A38" s="1">
        <f t="shared" si="1"/>
        <v>35</v>
      </c>
      <c r="B38" s="17">
        <v>46190</v>
      </c>
      <c r="C38" s="1" t="s">
        <v>116</v>
      </c>
      <c r="D38" s="1" t="s">
        <v>303</v>
      </c>
      <c r="E38" s="1" t="s">
        <v>434</v>
      </c>
      <c r="F38" s="26" t="s">
        <v>441</v>
      </c>
      <c r="G38" s="26" t="s">
        <v>209</v>
      </c>
      <c r="H38" s="1" t="s">
        <v>315</v>
      </c>
      <c r="I38" s="1"/>
      <c r="J38" s="1"/>
      <c r="K38" s="1" t="s">
        <v>222</v>
      </c>
      <c r="L38" s="1"/>
      <c r="M38" s="1"/>
      <c r="N38" s="2"/>
      <c r="O38" s="1"/>
      <c r="P38" s="1"/>
    </row>
    <row r="39" spans="1:23" ht="195" x14ac:dyDescent="0.25">
      <c r="A39" s="2">
        <f t="shared" si="1"/>
        <v>36</v>
      </c>
      <c r="B39" s="30">
        <v>46175</v>
      </c>
      <c r="C39" s="2" t="s">
        <v>428</v>
      </c>
      <c r="D39" s="2" t="s">
        <v>223</v>
      </c>
      <c r="E39" s="2" t="s">
        <v>454</v>
      </c>
      <c r="F39" s="27" t="s">
        <v>443</v>
      </c>
      <c r="G39" s="27" t="s">
        <v>225</v>
      </c>
      <c r="H39" s="2" t="s">
        <v>319</v>
      </c>
      <c r="I39" s="2" t="s">
        <v>119</v>
      </c>
      <c r="J39" s="2"/>
      <c r="K39" s="1" t="s">
        <v>222</v>
      </c>
      <c r="L39" s="2" t="s">
        <v>120</v>
      </c>
      <c r="M39" s="2" t="s">
        <v>233</v>
      </c>
      <c r="N39" s="2" t="s">
        <v>228</v>
      </c>
      <c r="O39" s="2"/>
      <c r="P39" s="2" t="s">
        <v>160</v>
      </c>
      <c r="Q39" s="23" t="s">
        <v>226</v>
      </c>
      <c r="W39" s="31"/>
    </row>
    <row r="40" spans="1:23" ht="21.95" customHeight="1" x14ac:dyDescent="0.25">
      <c r="A40" s="1">
        <f t="shared" si="1"/>
        <v>37</v>
      </c>
      <c r="B40" s="17">
        <v>46175</v>
      </c>
      <c r="C40" s="1" t="s">
        <v>428</v>
      </c>
      <c r="D40" s="1" t="s">
        <v>223</v>
      </c>
      <c r="E40" s="1" t="s">
        <v>459</v>
      </c>
      <c r="F40" s="26" t="s">
        <v>455</v>
      </c>
      <c r="G40" s="26" t="s">
        <v>170</v>
      </c>
      <c r="H40" s="1" t="s">
        <v>230</v>
      </c>
      <c r="I40" s="1" t="s">
        <v>144</v>
      </c>
      <c r="J40" s="1" t="s">
        <v>274</v>
      </c>
      <c r="K40" s="1" t="s">
        <v>222</v>
      </c>
      <c r="L40" s="1" t="s">
        <v>180</v>
      </c>
      <c r="M40" s="1" t="s">
        <v>430</v>
      </c>
      <c r="N40" s="2" t="s">
        <v>273</v>
      </c>
      <c r="O40" s="1"/>
      <c r="P40" s="1" t="s">
        <v>160</v>
      </c>
    </row>
    <row r="41" spans="1:23" ht="24" x14ac:dyDescent="0.25">
      <c r="A41" s="2">
        <f t="shared" si="1"/>
        <v>38</v>
      </c>
      <c r="B41" s="30">
        <v>46175</v>
      </c>
      <c r="C41" s="2" t="s">
        <v>428</v>
      </c>
      <c r="D41" s="2" t="s">
        <v>223</v>
      </c>
      <c r="E41" s="2" t="s">
        <v>459</v>
      </c>
      <c r="F41" s="27" t="s">
        <v>441</v>
      </c>
      <c r="G41" s="27" t="s">
        <v>117</v>
      </c>
      <c r="H41" s="2" t="s">
        <v>231</v>
      </c>
      <c r="I41" s="2" t="s">
        <v>405</v>
      </c>
      <c r="J41" s="2"/>
      <c r="K41" s="1" t="s">
        <v>406</v>
      </c>
      <c r="L41" s="2" t="s">
        <v>187</v>
      </c>
      <c r="M41" s="2" t="s">
        <v>431</v>
      </c>
      <c r="N41" s="2" t="s">
        <v>273</v>
      </c>
      <c r="O41" s="2"/>
      <c r="P41" s="2"/>
      <c r="Q41" s="23"/>
      <c r="W41" s="31"/>
    </row>
    <row r="42" spans="1:23" ht="21.95" customHeight="1" x14ac:dyDescent="0.25">
      <c r="A42" s="1">
        <f t="shared" si="1"/>
        <v>39</v>
      </c>
      <c r="B42" s="17">
        <v>46175</v>
      </c>
      <c r="C42" s="1" t="s">
        <v>428</v>
      </c>
      <c r="D42" s="1" t="s">
        <v>223</v>
      </c>
      <c r="E42" s="1" t="s">
        <v>459</v>
      </c>
      <c r="F42" s="26" t="s">
        <v>443</v>
      </c>
      <c r="G42" s="26" t="s">
        <v>471</v>
      </c>
      <c r="H42" s="1" t="s">
        <v>479</v>
      </c>
      <c r="I42" s="1" t="s">
        <v>119</v>
      </c>
      <c r="J42" s="1"/>
      <c r="K42" s="1" t="s">
        <v>222</v>
      </c>
      <c r="L42" s="1"/>
      <c r="M42" s="1"/>
      <c r="N42" s="2"/>
      <c r="O42" s="1"/>
      <c r="P42" s="1"/>
    </row>
    <row r="43" spans="1:23" ht="36" x14ac:dyDescent="0.25">
      <c r="A43" s="2">
        <f t="shared" si="1"/>
        <v>40</v>
      </c>
      <c r="B43" s="30">
        <v>46175</v>
      </c>
      <c r="C43" s="2" t="s">
        <v>235</v>
      </c>
      <c r="D43" s="2" t="s">
        <v>234</v>
      </c>
      <c r="E43" s="2" t="s">
        <v>434</v>
      </c>
      <c r="F43" s="27" t="s">
        <v>441</v>
      </c>
      <c r="G43" s="27" t="s">
        <v>316</v>
      </c>
      <c r="H43" s="2" t="s">
        <v>118</v>
      </c>
      <c r="I43" s="2" t="s">
        <v>119</v>
      </c>
      <c r="J43" s="2"/>
      <c r="K43" s="1" t="s">
        <v>222</v>
      </c>
      <c r="L43" s="2"/>
      <c r="M43" s="2"/>
      <c r="N43" s="2" t="s">
        <v>273</v>
      </c>
      <c r="O43" s="2"/>
      <c r="P43" s="2"/>
      <c r="Q43" s="23"/>
      <c r="W43" s="31"/>
    </row>
    <row r="44" spans="1:23" ht="21.95" customHeight="1" x14ac:dyDescent="0.25">
      <c r="A44" s="1">
        <f t="shared" si="1"/>
        <v>41</v>
      </c>
      <c r="B44" s="17">
        <v>46175</v>
      </c>
      <c r="C44" s="1" t="s">
        <v>235</v>
      </c>
      <c r="D44" s="1" t="s">
        <v>234</v>
      </c>
      <c r="E44" s="1" t="s">
        <v>434</v>
      </c>
      <c r="F44" s="26" t="s">
        <v>441</v>
      </c>
      <c r="G44" s="26" t="s">
        <v>322</v>
      </c>
      <c r="H44" s="1" t="s">
        <v>236</v>
      </c>
      <c r="I44" s="1" t="s">
        <v>405</v>
      </c>
      <c r="J44" s="1"/>
      <c r="K44" s="1" t="s">
        <v>222</v>
      </c>
      <c r="L44" s="1"/>
      <c r="M44" s="1"/>
      <c r="N44" s="2" t="s">
        <v>264</v>
      </c>
      <c r="O44" s="1"/>
      <c r="P44" s="1"/>
    </row>
    <row r="45" spans="1:23" ht="24" x14ac:dyDescent="0.25">
      <c r="A45" s="2">
        <f t="shared" si="1"/>
        <v>42</v>
      </c>
      <c r="B45" s="30">
        <v>46175</v>
      </c>
      <c r="C45" s="2" t="s">
        <v>235</v>
      </c>
      <c r="D45" s="2" t="s">
        <v>234</v>
      </c>
      <c r="E45" s="2" t="s">
        <v>460</v>
      </c>
      <c r="F45" s="27" t="s">
        <v>441</v>
      </c>
      <c r="G45" s="27" t="s">
        <v>170</v>
      </c>
      <c r="H45" s="2"/>
      <c r="I45" s="2" t="s">
        <v>405</v>
      </c>
      <c r="J45" s="2" t="s">
        <v>274</v>
      </c>
      <c r="K45" s="1" t="s">
        <v>222</v>
      </c>
      <c r="L45" s="2" t="s">
        <v>180</v>
      </c>
      <c r="M45" s="2"/>
      <c r="N45" s="2" t="s">
        <v>273</v>
      </c>
      <c r="O45" s="2"/>
      <c r="P45" s="2"/>
      <c r="Q45" s="23"/>
      <c r="W45" s="31"/>
    </row>
    <row r="46" spans="1:23" ht="21.95" customHeight="1" x14ac:dyDescent="0.25">
      <c r="A46" s="1">
        <f t="shared" si="1"/>
        <v>43</v>
      </c>
      <c r="B46" s="17">
        <v>46175</v>
      </c>
      <c r="C46" s="1" t="s">
        <v>235</v>
      </c>
      <c r="D46" s="1" t="s">
        <v>234</v>
      </c>
      <c r="E46" s="1" t="s">
        <v>458</v>
      </c>
      <c r="F46" s="26" t="s">
        <v>455</v>
      </c>
      <c r="G46" s="26" t="s">
        <v>143</v>
      </c>
      <c r="H46" s="1" t="s">
        <v>456</v>
      </c>
      <c r="I46" s="1" t="s">
        <v>269</v>
      </c>
      <c r="J46" s="1"/>
      <c r="K46" s="1" t="s">
        <v>222</v>
      </c>
      <c r="L46" s="1"/>
      <c r="M46" s="1"/>
      <c r="N46" s="2" t="s">
        <v>273</v>
      </c>
      <c r="O46" s="1"/>
      <c r="P46" s="1"/>
    </row>
    <row r="47" spans="1:23" ht="105" x14ac:dyDescent="0.25">
      <c r="A47" s="2">
        <f t="shared" si="1"/>
        <v>44</v>
      </c>
      <c r="B47" s="30">
        <v>46176</v>
      </c>
      <c r="C47" s="2" t="s">
        <v>428</v>
      </c>
      <c r="D47" s="2" t="s">
        <v>237</v>
      </c>
      <c r="E47" s="2" t="s">
        <v>459</v>
      </c>
      <c r="F47" s="27" t="s">
        <v>455</v>
      </c>
      <c r="G47" s="27" t="s">
        <v>209</v>
      </c>
      <c r="H47" s="2" t="s">
        <v>239</v>
      </c>
      <c r="I47" s="2" t="s">
        <v>119</v>
      </c>
      <c r="J47" s="2"/>
      <c r="K47" s="1" t="s">
        <v>222</v>
      </c>
      <c r="L47" s="2" t="s">
        <v>180</v>
      </c>
      <c r="M47" s="2" t="s">
        <v>238</v>
      </c>
      <c r="N47" s="2" t="s">
        <v>225</v>
      </c>
      <c r="O47" s="2"/>
      <c r="P47" s="2" t="s">
        <v>200</v>
      </c>
      <c r="Q47" s="23" t="s">
        <v>242</v>
      </c>
      <c r="W47" s="31"/>
    </row>
    <row r="48" spans="1:23" ht="21.95" customHeight="1" x14ac:dyDescent="0.25">
      <c r="A48" s="1">
        <f t="shared" si="1"/>
        <v>45</v>
      </c>
      <c r="B48" s="17">
        <v>46176</v>
      </c>
      <c r="C48" s="1" t="s">
        <v>428</v>
      </c>
      <c r="D48" s="1" t="s">
        <v>237</v>
      </c>
      <c r="E48" s="1" t="s">
        <v>459</v>
      </c>
      <c r="F48" s="26" t="s">
        <v>443</v>
      </c>
      <c r="G48" s="26" t="s">
        <v>225</v>
      </c>
      <c r="H48" s="1" t="s">
        <v>467</v>
      </c>
      <c r="I48" s="1" t="s">
        <v>144</v>
      </c>
      <c r="J48" s="1"/>
      <c r="K48" s="1" t="s">
        <v>222</v>
      </c>
      <c r="L48" s="1"/>
      <c r="M48" s="1"/>
      <c r="N48" s="2" t="s">
        <v>228</v>
      </c>
      <c r="O48" s="1"/>
      <c r="P48" s="1"/>
    </row>
    <row r="49" spans="1:23" ht="24" x14ac:dyDescent="0.25">
      <c r="A49" s="2">
        <f t="shared" si="1"/>
        <v>46</v>
      </c>
      <c r="B49" s="30">
        <v>46176</v>
      </c>
      <c r="C49" s="2" t="s">
        <v>428</v>
      </c>
      <c r="D49" s="2" t="s">
        <v>237</v>
      </c>
      <c r="E49" s="2" t="s">
        <v>459</v>
      </c>
      <c r="F49" s="27" t="s">
        <v>441</v>
      </c>
      <c r="G49" s="27" t="s">
        <v>170</v>
      </c>
      <c r="H49" s="2" t="s">
        <v>240</v>
      </c>
      <c r="I49" s="2" t="s">
        <v>405</v>
      </c>
      <c r="J49" s="2" t="s">
        <v>274</v>
      </c>
      <c r="K49" s="1" t="s">
        <v>222</v>
      </c>
      <c r="L49" s="2"/>
      <c r="M49" s="2"/>
      <c r="N49" s="2" t="s">
        <v>273</v>
      </c>
      <c r="O49" s="2"/>
      <c r="P49" s="2"/>
      <c r="Q49" s="23"/>
      <c r="W49" s="31"/>
    </row>
    <row r="50" spans="1:23" ht="21.95" customHeight="1" x14ac:dyDescent="0.25">
      <c r="A50" s="1">
        <f t="shared" si="1"/>
        <v>47</v>
      </c>
      <c r="B50" s="17">
        <v>46176</v>
      </c>
      <c r="C50" s="1" t="s">
        <v>428</v>
      </c>
      <c r="D50" s="1" t="s">
        <v>237</v>
      </c>
      <c r="E50" s="1" t="s">
        <v>459</v>
      </c>
      <c r="F50" s="26" t="s">
        <v>443</v>
      </c>
      <c r="G50" s="26" t="s">
        <v>322</v>
      </c>
      <c r="H50" s="1" t="s">
        <v>241</v>
      </c>
      <c r="I50" s="1" t="s">
        <v>405</v>
      </c>
      <c r="J50" s="1"/>
      <c r="K50" s="1" t="s">
        <v>222</v>
      </c>
      <c r="L50" s="1"/>
      <c r="M50" s="1"/>
      <c r="N50" s="2" t="s">
        <v>264</v>
      </c>
      <c r="O50" s="1"/>
      <c r="P50" s="1"/>
    </row>
    <row r="51" spans="1:23" ht="96" x14ac:dyDescent="0.25">
      <c r="A51" s="2">
        <f t="shared" si="1"/>
        <v>48</v>
      </c>
      <c r="B51" s="30">
        <v>46177</v>
      </c>
      <c r="C51" s="2" t="s">
        <v>256</v>
      </c>
      <c r="D51" s="2" t="s">
        <v>408</v>
      </c>
      <c r="E51" s="2" t="s">
        <v>461</v>
      </c>
      <c r="F51" s="27" t="s">
        <v>443</v>
      </c>
      <c r="G51" s="27" t="s">
        <v>137</v>
      </c>
      <c r="H51" s="2" t="s">
        <v>243</v>
      </c>
      <c r="I51" s="2" t="s">
        <v>144</v>
      </c>
      <c r="J51" s="2"/>
      <c r="K51" s="1" t="s">
        <v>222</v>
      </c>
      <c r="L51" s="2"/>
      <c r="M51" s="2"/>
      <c r="N51" s="2"/>
      <c r="O51" s="2"/>
      <c r="P51" s="2"/>
      <c r="Q51" s="23"/>
      <c r="W51" s="31"/>
    </row>
    <row r="52" spans="1:23" ht="21.95" customHeight="1" x14ac:dyDescent="0.25">
      <c r="A52" s="1">
        <f t="shared" si="1"/>
        <v>49</v>
      </c>
      <c r="B52" s="17" t="s">
        <v>246</v>
      </c>
      <c r="C52" s="1" t="s">
        <v>256</v>
      </c>
      <c r="D52" s="1" t="s">
        <v>408</v>
      </c>
      <c r="E52" s="1" t="s">
        <v>462</v>
      </c>
      <c r="F52" s="26" t="s">
        <v>443</v>
      </c>
      <c r="G52" s="26" t="s">
        <v>244</v>
      </c>
      <c r="H52" s="1" t="s">
        <v>245</v>
      </c>
      <c r="I52" s="1" t="s">
        <v>119</v>
      </c>
      <c r="J52" s="1"/>
      <c r="K52" s="1" t="s">
        <v>222</v>
      </c>
      <c r="L52" s="1"/>
      <c r="M52" s="1"/>
      <c r="N52" s="2" t="s">
        <v>253</v>
      </c>
      <c r="O52" s="1"/>
      <c r="P52" s="1"/>
    </row>
    <row r="53" spans="1:23" ht="36" x14ac:dyDescent="0.25">
      <c r="A53" s="2">
        <f t="shared" si="1"/>
        <v>50</v>
      </c>
      <c r="B53" s="30" t="s">
        <v>246</v>
      </c>
      <c r="C53" s="2" t="s">
        <v>256</v>
      </c>
      <c r="D53" s="2" t="s">
        <v>408</v>
      </c>
      <c r="E53" s="2" t="s">
        <v>462</v>
      </c>
      <c r="F53" s="27" t="s">
        <v>443</v>
      </c>
      <c r="G53" s="27" t="s">
        <v>247</v>
      </c>
      <c r="H53" s="2" t="s">
        <v>249</v>
      </c>
      <c r="I53" s="2" t="s">
        <v>119</v>
      </c>
      <c r="J53" s="2"/>
      <c r="K53" s="1" t="s">
        <v>222</v>
      </c>
      <c r="L53" s="2" t="s">
        <v>120</v>
      </c>
      <c r="M53" s="2" t="s">
        <v>248</v>
      </c>
      <c r="N53" s="2" t="s">
        <v>250</v>
      </c>
      <c r="O53" s="2"/>
      <c r="P53" s="2"/>
      <c r="Q53" s="23" t="s">
        <v>251</v>
      </c>
      <c r="W53" s="31"/>
    </row>
    <row r="54" spans="1:23" ht="21.95" customHeight="1" x14ac:dyDescent="0.25">
      <c r="A54" s="1">
        <f t="shared" si="1"/>
        <v>51</v>
      </c>
      <c r="B54" s="17" t="s">
        <v>246</v>
      </c>
      <c r="C54" s="1" t="s">
        <v>256</v>
      </c>
      <c r="D54" s="1" t="s">
        <v>408</v>
      </c>
      <c r="E54" s="1" t="s">
        <v>462</v>
      </c>
      <c r="F54" s="26" t="s">
        <v>441</v>
      </c>
      <c r="G54" s="26" t="s">
        <v>170</v>
      </c>
      <c r="H54" s="1" t="s">
        <v>260</v>
      </c>
      <c r="I54" s="1" t="s">
        <v>405</v>
      </c>
      <c r="J54" s="1" t="s">
        <v>274</v>
      </c>
      <c r="K54" s="1" t="s">
        <v>222</v>
      </c>
      <c r="L54" s="1" t="s">
        <v>120</v>
      </c>
      <c r="M54" s="1"/>
      <c r="N54" s="2"/>
      <c r="O54" s="1"/>
      <c r="P54" s="1"/>
    </row>
    <row r="55" spans="1:23" ht="24" x14ac:dyDescent="0.25">
      <c r="A55" s="2">
        <f t="shared" si="1"/>
        <v>52</v>
      </c>
      <c r="B55" s="30" t="s">
        <v>246</v>
      </c>
      <c r="C55" s="2" t="s">
        <v>256</v>
      </c>
      <c r="D55" s="2" t="s">
        <v>408</v>
      </c>
      <c r="E55" s="2" t="s">
        <v>463</v>
      </c>
      <c r="F55" s="27" t="s">
        <v>441</v>
      </c>
      <c r="G55" s="27" t="s">
        <v>322</v>
      </c>
      <c r="H55" s="2" t="s">
        <v>252</v>
      </c>
      <c r="I55" s="2" t="s">
        <v>405</v>
      </c>
      <c r="J55" s="2"/>
      <c r="K55" s="1" t="s">
        <v>222</v>
      </c>
      <c r="L55" s="2" t="s">
        <v>187</v>
      </c>
      <c r="M55" s="2"/>
      <c r="N55" s="2" t="s">
        <v>264</v>
      </c>
      <c r="O55" s="2"/>
      <c r="P55" s="2"/>
      <c r="Q55" s="23"/>
      <c r="W55" s="31"/>
    </row>
    <row r="56" spans="1:23" ht="21.95" customHeight="1" x14ac:dyDescent="0.25">
      <c r="A56" s="1">
        <f t="shared" si="1"/>
        <v>53</v>
      </c>
      <c r="B56" s="17" t="s">
        <v>246</v>
      </c>
      <c r="C56" s="1" t="s">
        <v>256</v>
      </c>
      <c r="D56" s="1" t="s">
        <v>408</v>
      </c>
      <c r="E56" s="1" t="s">
        <v>463</v>
      </c>
      <c r="F56" s="26" t="s">
        <v>441</v>
      </c>
      <c r="G56" s="26" t="s">
        <v>254</v>
      </c>
      <c r="H56" s="1" t="s">
        <v>255</v>
      </c>
      <c r="I56" s="1" t="s">
        <v>144</v>
      </c>
      <c r="J56" s="1"/>
      <c r="K56" s="1" t="s">
        <v>222</v>
      </c>
      <c r="L56" s="1" t="s">
        <v>187</v>
      </c>
      <c r="M56" s="1"/>
      <c r="N56" s="2"/>
      <c r="O56" s="1"/>
      <c r="P56" s="1"/>
    </row>
    <row r="57" spans="1:23" ht="60" x14ac:dyDescent="0.25">
      <c r="A57" s="2">
        <f t="shared" si="1"/>
        <v>54</v>
      </c>
      <c r="B57" s="30" t="s">
        <v>246</v>
      </c>
      <c r="C57" s="2" t="s">
        <v>256</v>
      </c>
      <c r="D57" s="2" t="s">
        <v>408</v>
      </c>
      <c r="E57" s="2" t="s">
        <v>462</v>
      </c>
      <c r="F57" s="27" t="s">
        <v>441</v>
      </c>
      <c r="G57" s="27" t="s">
        <v>257</v>
      </c>
      <c r="H57" s="2" t="s">
        <v>258</v>
      </c>
      <c r="I57" s="2" t="s">
        <v>144</v>
      </c>
      <c r="J57" s="2" t="s">
        <v>150</v>
      </c>
      <c r="K57" s="1" t="s">
        <v>222</v>
      </c>
      <c r="L57" s="2" t="s">
        <v>276</v>
      </c>
      <c r="M57" s="2" t="s">
        <v>259</v>
      </c>
      <c r="N57" s="2"/>
      <c r="O57" s="2"/>
      <c r="P57" s="2"/>
      <c r="Q57" s="23"/>
      <c r="W57" s="31"/>
    </row>
    <row r="58" spans="1:23" ht="36" x14ac:dyDescent="0.25">
      <c r="A58" s="1">
        <f t="shared" si="1"/>
        <v>55</v>
      </c>
      <c r="B58" s="17">
        <v>46189</v>
      </c>
      <c r="C58" s="1" t="s">
        <v>281</v>
      </c>
      <c r="D58" s="1" t="s">
        <v>282</v>
      </c>
      <c r="E58" s="1" t="s">
        <v>451</v>
      </c>
      <c r="F58" s="32" t="s">
        <v>441</v>
      </c>
      <c r="G58" s="26" t="s">
        <v>283</v>
      </c>
      <c r="H58" s="1" t="s">
        <v>296</v>
      </c>
      <c r="I58" s="1" t="s">
        <v>405</v>
      </c>
      <c r="J58" s="1"/>
      <c r="K58" s="1" t="s">
        <v>222</v>
      </c>
      <c r="L58" s="1"/>
      <c r="M58" s="1"/>
      <c r="N58" s="2"/>
      <c r="O58" s="1"/>
      <c r="P58" s="1"/>
      <c r="Q58" t="s">
        <v>285</v>
      </c>
    </row>
    <row r="59" spans="1:23" x14ac:dyDescent="0.25">
      <c r="A59" s="2">
        <f t="shared" si="1"/>
        <v>56</v>
      </c>
      <c r="B59" s="30">
        <v>46189</v>
      </c>
      <c r="C59" s="2" t="s">
        <v>281</v>
      </c>
      <c r="D59" s="2" t="s">
        <v>282</v>
      </c>
      <c r="E59" s="2"/>
      <c r="F59" s="33"/>
      <c r="G59" s="27" t="s">
        <v>170</v>
      </c>
      <c r="H59" s="2"/>
      <c r="I59" s="2"/>
      <c r="J59" s="2" t="s">
        <v>274</v>
      </c>
      <c r="K59" s="1" t="s">
        <v>222</v>
      </c>
      <c r="L59" s="2"/>
      <c r="M59" s="2"/>
      <c r="N59" s="2"/>
      <c r="O59" s="2"/>
      <c r="P59" s="2"/>
      <c r="Q59" s="23"/>
      <c r="W59" s="31"/>
    </row>
    <row r="60" spans="1:23" ht="21.95" customHeight="1" x14ac:dyDescent="0.25">
      <c r="A60" s="1">
        <f t="shared" si="1"/>
        <v>57</v>
      </c>
      <c r="B60" s="17">
        <v>46189</v>
      </c>
      <c r="C60" s="1" t="s">
        <v>281</v>
      </c>
      <c r="D60" s="1" t="s">
        <v>282</v>
      </c>
      <c r="E60" s="1" t="s">
        <v>464</v>
      </c>
      <c r="F60" s="32" t="s">
        <v>443</v>
      </c>
      <c r="G60" s="26" t="s">
        <v>322</v>
      </c>
      <c r="H60" s="1" t="s">
        <v>284</v>
      </c>
      <c r="I60" s="1"/>
      <c r="J60" s="1"/>
      <c r="K60" s="1" t="s">
        <v>222</v>
      </c>
      <c r="L60" s="1"/>
      <c r="M60" s="1"/>
      <c r="N60" s="2"/>
      <c r="O60" s="1"/>
      <c r="P60" s="1"/>
    </row>
    <row r="61" spans="1:23" ht="24" x14ac:dyDescent="0.25">
      <c r="A61" s="2">
        <f t="shared" si="1"/>
        <v>58</v>
      </c>
      <c r="B61" s="30">
        <v>46189</v>
      </c>
      <c r="C61" s="2" t="s">
        <v>281</v>
      </c>
      <c r="D61" s="2" t="s">
        <v>282</v>
      </c>
      <c r="E61" s="2" t="s">
        <v>446</v>
      </c>
      <c r="F61" s="33" t="s">
        <v>441</v>
      </c>
      <c r="G61" s="27" t="s">
        <v>321</v>
      </c>
      <c r="H61" s="2" t="s">
        <v>286</v>
      </c>
      <c r="I61" s="2"/>
      <c r="J61" s="2" t="s">
        <v>274</v>
      </c>
      <c r="K61" s="1" t="s">
        <v>222</v>
      </c>
      <c r="L61" s="2"/>
      <c r="M61" s="2"/>
      <c r="N61" s="2"/>
      <c r="O61" s="2"/>
      <c r="P61" s="2"/>
      <c r="Q61" s="23"/>
      <c r="W61" s="31"/>
    </row>
    <row r="62" spans="1:23" ht="21.95" customHeight="1" x14ac:dyDescent="0.25">
      <c r="A62" s="1">
        <f t="shared" si="1"/>
        <v>59</v>
      </c>
      <c r="B62" s="17">
        <v>46189</v>
      </c>
      <c r="C62" s="1" t="s">
        <v>281</v>
      </c>
      <c r="D62" s="1" t="s">
        <v>282</v>
      </c>
      <c r="E62" s="1" t="s">
        <v>464</v>
      </c>
      <c r="F62" s="32" t="s">
        <v>443</v>
      </c>
      <c r="G62" s="26" t="s">
        <v>287</v>
      </c>
      <c r="H62" s="1" t="s">
        <v>288</v>
      </c>
      <c r="I62" s="1" t="s">
        <v>144</v>
      </c>
      <c r="J62" s="1"/>
      <c r="K62" s="1" t="s">
        <v>222</v>
      </c>
      <c r="L62" s="1"/>
      <c r="M62" s="1" t="s">
        <v>302</v>
      </c>
      <c r="N62" s="2"/>
      <c r="O62" s="1"/>
      <c r="P62" s="1" t="s">
        <v>297</v>
      </c>
    </row>
    <row r="63" spans="1:23" ht="24" x14ac:dyDescent="0.25">
      <c r="A63" s="2">
        <f t="shared" si="1"/>
        <v>60</v>
      </c>
      <c r="B63" s="30">
        <v>46189</v>
      </c>
      <c r="C63" s="2" t="s">
        <v>281</v>
      </c>
      <c r="D63" s="2" t="s">
        <v>482</v>
      </c>
      <c r="E63" s="2" t="s">
        <v>464</v>
      </c>
      <c r="F63" s="33" t="s">
        <v>441</v>
      </c>
      <c r="G63" s="27" t="s">
        <v>289</v>
      </c>
      <c r="H63" s="2" t="s">
        <v>290</v>
      </c>
      <c r="I63" s="2" t="s">
        <v>144</v>
      </c>
      <c r="J63" s="2"/>
      <c r="K63" s="1" t="s">
        <v>222</v>
      </c>
      <c r="L63" s="2"/>
      <c r="M63" s="2" t="s">
        <v>302</v>
      </c>
      <c r="N63" s="2" t="s">
        <v>291</v>
      </c>
      <c r="O63" s="2"/>
      <c r="P63" s="2" t="s">
        <v>298</v>
      </c>
      <c r="Q63" s="23"/>
      <c r="W63" s="31"/>
    </row>
    <row r="64" spans="1:23" ht="21.95" customHeight="1" x14ac:dyDescent="0.25">
      <c r="A64" s="1">
        <f t="shared" si="1"/>
        <v>61</v>
      </c>
      <c r="B64" s="17">
        <v>46189</v>
      </c>
      <c r="C64" s="1" t="s">
        <v>281</v>
      </c>
      <c r="D64" s="1" t="s">
        <v>282</v>
      </c>
      <c r="E64" s="1" t="s">
        <v>465</v>
      </c>
      <c r="F64" s="32" t="s">
        <v>443</v>
      </c>
      <c r="G64" s="26" t="s">
        <v>404</v>
      </c>
      <c r="H64" s="1" t="s">
        <v>466</v>
      </c>
      <c r="I64" s="1"/>
      <c r="J64" s="1"/>
      <c r="K64" s="1" t="s">
        <v>222</v>
      </c>
      <c r="L64" s="1"/>
      <c r="M64" s="1"/>
      <c r="N64" s="2"/>
      <c r="O64" s="1"/>
      <c r="P64" s="1"/>
    </row>
    <row r="65" spans="1:23" ht="24" x14ac:dyDescent="0.25">
      <c r="A65" s="2">
        <f t="shared" si="1"/>
        <v>62</v>
      </c>
      <c r="B65" s="30">
        <v>46189</v>
      </c>
      <c r="C65" s="2" t="s">
        <v>281</v>
      </c>
      <c r="D65" s="2" t="s">
        <v>282</v>
      </c>
      <c r="E65" s="2" t="s">
        <v>465</v>
      </c>
      <c r="F65" s="33" t="s">
        <v>443</v>
      </c>
      <c r="G65" s="27" t="s">
        <v>154</v>
      </c>
      <c r="H65" s="2" t="s">
        <v>292</v>
      </c>
      <c r="I65" s="2"/>
      <c r="J65" s="2"/>
      <c r="K65" s="1" t="s">
        <v>277</v>
      </c>
      <c r="L65" s="2"/>
      <c r="M65" s="2"/>
      <c r="N65" s="2"/>
      <c r="O65" s="2"/>
      <c r="P65" s="2"/>
      <c r="Q65" s="23"/>
      <c r="W65" s="31"/>
    </row>
    <row r="66" spans="1:23" ht="21.95" customHeight="1" x14ac:dyDescent="0.25">
      <c r="A66" s="1">
        <f t="shared" si="1"/>
        <v>63</v>
      </c>
      <c r="B66" s="17">
        <v>46189</v>
      </c>
      <c r="C66" s="1" t="s">
        <v>281</v>
      </c>
      <c r="D66" s="1" t="s">
        <v>282</v>
      </c>
      <c r="E66" s="1" t="s">
        <v>440</v>
      </c>
      <c r="F66" s="32" t="s">
        <v>443</v>
      </c>
      <c r="G66" s="26" t="s">
        <v>164</v>
      </c>
      <c r="H66" s="1" t="s">
        <v>293</v>
      </c>
      <c r="I66" s="1" t="s">
        <v>405</v>
      </c>
      <c r="J66" s="1"/>
      <c r="K66" s="1" t="s">
        <v>222</v>
      </c>
      <c r="L66" s="1" t="s">
        <v>294</v>
      </c>
      <c r="M66" s="1"/>
      <c r="N66" s="2"/>
      <c r="O66" s="1"/>
      <c r="P66" s="1"/>
    </row>
    <row r="67" spans="1:23" ht="48" x14ac:dyDescent="0.25">
      <c r="A67" s="2">
        <f t="shared" si="1"/>
        <v>64</v>
      </c>
      <c r="B67" s="30">
        <v>46189</v>
      </c>
      <c r="C67" s="2" t="s">
        <v>281</v>
      </c>
      <c r="D67" s="2" t="s">
        <v>282</v>
      </c>
      <c r="E67" s="2" t="s">
        <v>465</v>
      </c>
      <c r="F67" s="33" t="s">
        <v>443</v>
      </c>
      <c r="G67" s="27" t="s">
        <v>143</v>
      </c>
      <c r="H67" s="2" t="s">
        <v>295</v>
      </c>
      <c r="I67" s="2" t="s">
        <v>144</v>
      </c>
      <c r="J67" s="2"/>
      <c r="K67" s="1" t="s">
        <v>222</v>
      </c>
      <c r="L67" s="2"/>
      <c r="M67" s="2"/>
      <c r="N67" s="2"/>
      <c r="O67" s="2"/>
      <c r="P67" s="2" t="s">
        <v>299</v>
      </c>
      <c r="Q67" s="23"/>
      <c r="W67" s="31"/>
    </row>
    <row r="68" spans="1:23" ht="21.95" customHeight="1" x14ac:dyDescent="0.25">
      <c r="A68" s="1">
        <f t="shared" si="1"/>
        <v>65</v>
      </c>
      <c r="B68" s="17">
        <v>46189</v>
      </c>
      <c r="C68" s="1" t="s">
        <v>281</v>
      </c>
      <c r="D68" s="1" t="s">
        <v>282</v>
      </c>
      <c r="E68" s="1" t="s">
        <v>451</v>
      </c>
      <c r="F68" s="32" t="s">
        <v>441</v>
      </c>
      <c r="G68" s="26" t="s">
        <v>300</v>
      </c>
      <c r="H68" s="1" t="s">
        <v>481</v>
      </c>
      <c r="I68" s="1" t="s">
        <v>119</v>
      </c>
      <c r="J68" s="1"/>
      <c r="K68" s="1" t="s">
        <v>222</v>
      </c>
      <c r="L68" s="1"/>
      <c r="M68" s="1"/>
      <c r="N68" s="2"/>
      <c r="O68" s="1"/>
      <c r="P68" s="1"/>
      <c r="Q68" t="s">
        <v>301</v>
      </c>
    </row>
    <row r="69" spans="1:23" ht="36" x14ac:dyDescent="0.25">
      <c r="A69" s="2">
        <f t="shared" si="1"/>
        <v>66</v>
      </c>
      <c r="B69" s="30">
        <v>46190</v>
      </c>
      <c r="C69" s="2" t="s">
        <v>116</v>
      </c>
      <c r="D69" s="2" t="s">
        <v>303</v>
      </c>
      <c r="E69" s="2" t="s">
        <v>451</v>
      </c>
      <c r="F69" s="33" t="s">
        <v>441</v>
      </c>
      <c r="G69" s="27" t="s">
        <v>304</v>
      </c>
      <c r="H69" s="2" t="s">
        <v>305</v>
      </c>
      <c r="I69" s="2"/>
      <c r="J69" s="2"/>
      <c r="K69" s="1" t="s">
        <v>222</v>
      </c>
      <c r="L69" s="2"/>
      <c r="M69" s="2" t="s">
        <v>314</v>
      </c>
      <c r="N69" s="2"/>
      <c r="O69" s="2"/>
      <c r="P69" s="2"/>
      <c r="Q69" s="23" t="s">
        <v>306</v>
      </c>
      <c r="W69" s="31"/>
    </row>
    <row r="70" spans="1:23" ht="21.95" customHeight="1" x14ac:dyDescent="0.25">
      <c r="A70" s="1">
        <f t="shared" si="1"/>
        <v>67</v>
      </c>
      <c r="B70" s="17">
        <v>46190</v>
      </c>
      <c r="C70" s="1" t="s">
        <v>116</v>
      </c>
      <c r="D70" s="1" t="s">
        <v>303</v>
      </c>
      <c r="E70" s="1" t="s">
        <v>451</v>
      </c>
      <c r="F70" s="32" t="s">
        <v>441</v>
      </c>
      <c r="G70" s="26" t="s">
        <v>170</v>
      </c>
      <c r="H70" s="1" t="s">
        <v>317</v>
      </c>
      <c r="I70" s="1"/>
      <c r="J70" s="1"/>
      <c r="K70" s="1" t="s">
        <v>222</v>
      </c>
      <c r="L70" s="1"/>
      <c r="M70" s="1" t="s">
        <v>314</v>
      </c>
      <c r="N70" s="2"/>
      <c r="O70" s="1"/>
      <c r="P70" s="1"/>
      <c r="Q70" t="s">
        <v>318</v>
      </c>
    </row>
    <row r="71" spans="1:23" ht="36" x14ac:dyDescent="0.25">
      <c r="A71" s="2">
        <f t="shared" si="1"/>
        <v>68</v>
      </c>
      <c r="B71" s="30">
        <v>46190</v>
      </c>
      <c r="C71" s="2" t="s">
        <v>116</v>
      </c>
      <c r="D71" s="2" t="s">
        <v>303</v>
      </c>
      <c r="E71" s="2" t="s">
        <v>451</v>
      </c>
      <c r="F71" s="33" t="s">
        <v>441</v>
      </c>
      <c r="G71" s="27" t="s">
        <v>321</v>
      </c>
      <c r="H71" s="2" t="s">
        <v>305</v>
      </c>
      <c r="I71" s="2"/>
      <c r="J71" s="2"/>
      <c r="K71" s="1" t="s">
        <v>222</v>
      </c>
      <c r="L71" s="2"/>
      <c r="M71" s="2"/>
      <c r="N71" s="2"/>
      <c r="O71" s="2"/>
      <c r="P71" s="2"/>
      <c r="Q71" s="23" t="s">
        <v>307</v>
      </c>
      <c r="W71" s="31"/>
    </row>
    <row r="72" spans="1:23" ht="21.95" customHeight="1" x14ac:dyDescent="0.25">
      <c r="A72" s="1">
        <f t="shared" si="1"/>
        <v>69</v>
      </c>
      <c r="B72" s="17">
        <v>46190</v>
      </c>
      <c r="C72" s="1" t="s">
        <v>116</v>
      </c>
      <c r="D72" s="1" t="s">
        <v>303</v>
      </c>
      <c r="E72" s="1" t="s">
        <v>451</v>
      </c>
      <c r="F72" s="32" t="s">
        <v>441</v>
      </c>
      <c r="G72" s="26" t="s">
        <v>477</v>
      </c>
      <c r="H72" s="1" t="s">
        <v>309</v>
      </c>
      <c r="I72" s="1"/>
      <c r="J72" s="1"/>
      <c r="K72" s="1" t="s">
        <v>222</v>
      </c>
      <c r="L72" s="1"/>
      <c r="M72" s="1"/>
      <c r="N72" s="2"/>
      <c r="O72" s="1"/>
      <c r="P72" s="1"/>
    </row>
    <row r="73" spans="1:23" ht="36" x14ac:dyDescent="0.25">
      <c r="A73" s="2">
        <f t="shared" si="1"/>
        <v>70</v>
      </c>
      <c r="B73" s="30">
        <v>46190</v>
      </c>
      <c r="C73" s="2" t="s">
        <v>116</v>
      </c>
      <c r="D73" s="2" t="s">
        <v>303</v>
      </c>
      <c r="E73" s="2" t="s">
        <v>451</v>
      </c>
      <c r="F73" s="33" t="s">
        <v>443</v>
      </c>
      <c r="G73" s="27" t="s">
        <v>308</v>
      </c>
      <c r="H73" s="2" t="s">
        <v>468</v>
      </c>
      <c r="I73" s="2"/>
      <c r="J73" s="2"/>
      <c r="K73" s="1"/>
      <c r="L73" s="2"/>
      <c r="M73" s="2"/>
      <c r="N73" s="2"/>
      <c r="O73" s="2"/>
      <c r="P73" s="2"/>
      <c r="Q73" s="23"/>
      <c r="W73" s="31"/>
    </row>
    <row r="74" spans="1:23" ht="21.95" customHeight="1" x14ac:dyDescent="0.25">
      <c r="A74" s="1">
        <f t="shared" si="1"/>
        <v>71</v>
      </c>
      <c r="B74" s="17">
        <v>46190</v>
      </c>
      <c r="C74" s="1" t="s">
        <v>116</v>
      </c>
      <c r="D74" s="1" t="s">
        <v>303</v>
      </c>
      <c r="E74" s="1" t="s">
        <v>451</v>
      </c>
      <c r="F74" s="32" t="s">
        <v>441</v>
      </c>
      <c r="G74" s="26" t="s">
        <v>300</v>
      </c>
      <c r="H74" s="1" t="s">
        <v>310</v>
      </c>
      <c r="I74" s="1" t="s">
        <v>119</v>
      </c>
      <c r="J74" s="1"/>
      <c r="K74" s="1" t="s">
        <v>222</v>
      </c>
      <c r="L74" s="1" t="s">
        <v>187</v>
      </c>
      <c r="M74" s="1"/>
      <c r="N74" s="2"/>
      <c r="O74" s="1"/>
      <c r="P74" s="1"/>
      <c r="Q74" t="s">
        <v>311</v>
      </c>
    </row>
    <row r="75" spans="1:23" ht="36" x14ac:dyDescent="0.25">
      <c r="A75" s="2">
        <f t="shared" si="1"/>
        <v>72</v>
      </c>
      <c r="B75" s="30">
        <v>46190</v>
      </c>
      <c r="C75" s="2" t="s">
        <v>116</v>
      </c>
      <c r="D75" s="2" t="s">
        <v>303</v>
      </c>
      <c r="E75" s="2" t="s">
        <v>457</v>
      </c>
      <c r="F75" s="33" t="s">
        <v>441</v>
      </c>
      <c r="G75" s="27" t="s">
        <v>143</v>
      </c>
      <c r="H75" s="2" t="s">
        <v>312</v>
      </c>
      <c r="I75" s="2"/>
      <c r="J75" s="2"/>
      <c r="K75" s="1" t="s">
        <v>222</v>
      </c>
      <c r="L75" s="2"/>
      <c r="M75" s="2"/>
      <c r="N75" s="2"/>
      <c r="O75" s="2"/>
      <c r="P75" s="2"/>
      <c r="Q75" s="23" t="s">
        <v>313</v>
      </c>
      <c r="W75" s="31"/>
    </row>
    <row r="76" spans="1:23" ht="21.95" customHeight="1" x14ac:dyDescent="0.25">
      <c r="A76" s="1">
        <f t="shared" si="1"/>
        <v>73</v>
      </c>
      <c r="B76" s="17">
        <v>46175</v>
      </c>
      <c r="C76" s="1" t="s">
        <v>428</v>
      </c>
      <c r="D76" s="1" t="s">
        <v>223</v>
      </c>
      <c r="E76" s="1" t="s">
        <v>459</v>
      </c>
      <c r="F76" s="32" t="s">
        <v>443</v>
      </c>
      <c r="G76" s="26" t="s">
        <v>209</v>
      </c>
      <c r="H76" s="1" t="s">
        <v>229</v>
      </c>
      <c r="I76" s="1" t="s">
        <v>144</v>
      </c>
      <c r="J76" s="1" t="s">
        <v>275</v>
      </c>
      <c r="K76" s="1" t="s">
        <v>222</v>
      </c>
      <c r="L76" s="1" t="s">
        <v>214</v>
      </c>
      <c r="M76" s="1" t="s">
        <v>227</v>
      </c>
      <c r="N76" s="2" t="s">
        <v>265</v>
      </c>
      <c r="O76" s="1"/>
      <c r="P76" s="1" t="s">
        <v>160</v>
      </c>
      <c r="Q76" t="s">
        <v>224</v>
      </c>
    </row>
    <row r="77" spans="1:23" ht="24" x14ac:dyDescent="0.25">
      <c r="A77" s="2">
        <f t="shared" ref="A77:A102" si="2">ROW()-3</f>
        <v>74</v>
      </c>
      <c r="B77" s="30">
        <v>46190</v>
      </c>
      <c r="C77" s="2" t="s">
        <v>116</v>
      </c>
      <c r="D77" s="2" t="s">
        <v>303</v>
      </c>
      <c r="E77" s="2" t="s">
        <v>434</v>
      </c>
      <c r="F77" s="33" t="s">
        <v>441</v>
      </c>
      <c r="G77" s="27" t="s">
        <v>316</v>
      </c>
      <c r="H77" s="2" t="s">
        <v>118</v>
      </c>
      <c r="I77" s="2"/>
      <c r="J77" s="2"/>
      <c r="K77" s="1" t="s">
        <v>222</v>
      </c>
      <c r="L77" s="2"/>
      <c r="M77" s="2"/>
      <c r="N77" s="2"/>
      <c r="O77" s="2"/>
      <c r="P77" s="2"/>
      <c r="Q77" s="23"/>
      <c r="W77" s="31"/>
    </row>
    <row r="78" spans="1:23" ht="38.25" customHeight="1" x14ac:dyDescent="0.25">
      <c r="A78" s="1">
        <f t="shared" si="2"/>
        <v>75</v>
      </c>
      <c r="B78" s="17" t="s">
        <v>325</v>
      </c>
      <c r="C78" s="1" t="s">
        <v>327</v>
      </c>
      <c r="D78" s="1" t="s">
        <v>326</v>
      </c>
      <c r="E78" s="1" t="s">
        <v>469</v>
      </c>
      <c r="F78" s="32" t="s">
        <v>455</v>
      </c>
      <c r="G78" s="26" t="s">
        <v>143</v>
      </c>
      <c r="H78" s="1" t="s">
        <v>329</v>
      </c>
      <c r="I78" s="1" t="s">
        <v>405</v>
      </c>
      <c r="J78" s="1"/>
      <c r="K78" s="1" t="s">
        <v>222</v>
      </c>
      <c r="L78" s="1" t="s">
        <v>328</v>
      </c>
      <c r="M78" s="1" t="s">
        <v>343</v>
      </c>
      <c r="N78" s="2" t="s">
        <v>342</v>
      </c>
      <c r="O78" s="1"/>
      <c r="P78" s="1" t="s">
        <v>353</v>
      </c>
      <c r="Q78" t="s">
        <v>330</v>
      </c>
    </row>
    <row r="79" spans="1:23" ht="36" x14ac:dyDescent="0.25">
      <c r="A79" s="2">
        <f t="shared" si="2"/>
        <v>76</v>
      </c>
      <c r="B79" s="30" t="s">
        <v>325</v>
      </c>
      <c r="C79" s="2" t="s">
        <v>327</v>
      </c>
      <c r="D79" s="2" t="s">
        <v>326</v>
      </c>
      <c r="E79" s="2" t="s">
        <v>470</v>
      </c>
      <c r="F79" s="33" t="s">
        <v>441</v>
      </c>
      <c r="G79" s="27" t="s">
        <v>477</v>
      </c>
      <c r="H79" s="2" t="s">
        <v>334</v>
      </c>
      <c r="I79" s="2" t="s">
        <v>405</v>
      </c>
      <c r="J79" s="2"/>
      <c r="K79" s="1" t="s">
        <v>222</v>
      </c>
      <c r="L79" s="2" t="s">
        <v>333</v>
      </c>
      <c r="M79" s="2"/>
      <c r="N79" s="2"/>
      <c r="O79" s="2"/>
      <c r="P79" s="2"/>
      <c r="Q79" s="23" t="s">
        <v>331</v>
      </c>
      <c r="W79" s="31"/>
    </row>
    <row r="80" spans="1:23" ht="42" customHeight="1" x14ac:dyDescent="0.25">
      <c r="A80" s="1">
        <f t="shared" si="2"/>
        <v>77</v>
      </c>
      <c r="B80" s="17" t="s">
        <v>325</v>
      </c>
      <c r="C80" s="1" t="s">
        <v>327</v>
      </c>
      <c r="D80" s="1" t="s">
        <v>326</v>
      </c>
      <c r="E80" s="1" t="s">
        <v>437</v>
      </c>
      <c r="F80" s="32" t="s">
        <v>441</v>
      </c>
      <c r="G80" s="26" t="s">
        <v>164</v>
      </c>
      <c r="H80" s="1" t="s">
        <v>332</v>
      </c>
      <c r="I80" s="1" t="s">
        <v>405</v>
      </c>
      <c r="J80" s="1"/>
      <c r="K80" s="1" t="s">
        <v>222</v>
      </c>
      <c r="L80" s="1" t="s">
        <v>214</v>
      </c>
      <c r="M80" s="1"/>
      <c r="N80" s="2" t="s">
        <v>270</v>
      </c>
      <c r="O80" s="1"/>
      <c r="P80" s="1" t="s">
        <v>352</v>
      </c>
      <c r="Q80" t="s">
        <v>335</v>
      </c>
    </row>
    <row r="81" spans="1:23" ht="42" customHeight="1" x14ac:dyDescent="0.25">
      <c r="A81" s="2">
        <f t="shared" si="2"/>
        <v>78</v>
      </c>
      <c r="B81" s="30" t="s">
        <v>325</v>
      </c>
      <c r="C81" s="2" t="s">
        <v>327</v>
      </c>
      <c r="D81" s="2" t="s">
        <v>326</v>
      </c>
      <c r="E81" s="2"/>
      <c r="F81" s="33"/>
      <c r="G81" s="27" t="s">
        <v>404</v>
      </c>
      <c r="H81" s="2" t="s">
        <v>344</v>
      </c>
      <c r="I81" s="2" t="s">
        <v>405</v>
      </c>
      <c r="J81" s="2"/>
      <c r="K81" s="1" t="s">
        <v>222</v>
      </c>
      <c r="L81" s="2"/>
      <c r="M81" s="2" t="s">
        <v>345</v>
      </c>
      <c r="N81" s="2" t="s">
        <v>346</v>
      </c>
      <c r="O81" s="2"/>
      <c r="P81" s="2" t="s">
        <v>160</v>
      </c>
      <c r="Q81" s="23" t="s">
        <v>347</v>
      </c>
      <c r="W81" s="31"/>
    </row>
    <row r="82" spans="1:23" ht="21.95" customHeight="1" x14ac:dyDescent="0.25">
      <c r="A82" s="1">
        <f t="shared" si="2"/>
        <v>79</v>
      </c>
      <c r="B82" s="17" t="s">
        <v>325</v>
      </c>
      <c r="C82" s="1" t="s">
        <v>327</v>
      </c>
      <c r="D82" s="1" t="s">
        <v>326</v>
      </c>
      <c r="E82" s="1"/>
      <c r="F82" s="32"/>
      <c r="G82" s="26" t="s">
        <v>336</v>
      </c>
      <c r="H82" s="1" t="s">
        <v>348</v>
      </c>
      <c r="I82" s="1" t="s">
        <v>405</v>
      </c>
      <c r="J82" s="1"/>
      <c r="K82" s="1" t="s">
        <v>406</v>
      </c>
      <c r="L82" s="1" t="s">
        <v>351</v>
      </c>
      <c r="M82" s="1" t="s">
        <v>232</v>
      </c>
      <c r="N82" s="2" t="s">
        <v>350</v>
      </c>
      <c r="O82" s="1" t="s">
        <v>349</v>
      </c>
      <c r="P82" s="1" t="s">
        <v>160</v>
      </c>
    </row>
    <row r="83" spans="1:23" ht="60" x14ac:dyDescent="0.25">
      <c r="A83" s="2">
        <f t="shared" si="2"/>
        <v>80</v>
      </c>
      <c r="B83" s="30" t="s">
        <v>325</v>
      </c>
      <c r="C83" s="2" t="s">
        <v>327</v>
      </c>
      <c r="D83" s="2" t="s">
        <v>326</v>
      </c>
      <c r="E83" s="2"/>
      <c r="F83" s="33"/>
      <c r="G83" s="27" t="s">
        <v>337</v>
      </c>
      <c r="H83" s="2" t="s">
        <v>354</v>
      </c>
      <c r="I83" s="2" t="s">
        <v>405</v>
      </c>
      <c r="J83" s="2"/>
      <c r="K83" s="1" t="s">
        <v>406</v>
      </c>
      <c r="L83" s="2" t="s">
        <v>357</v>
      </c>
      <c r="M83" s="2" t="s">
        <v>232</v>
      </c>
      <c r="N83" s="2" t="s">
        <v>355</v>
      </c>
      <c r="O83" s="2"/>
      <c r="P83" s="2" t="s">
        <v>160</v>
      </c>
      <c r="Q83" s="23" t="s">
        <v>356</v>
      </c>
      <c r="W83" s="31"/>
    </row>
    <row r="84" spans="1:23" ht="21.95" customHeight="1" x14ac:dyDescent="0.25">
      <c r="A84" s="1">
        <f t="shared" si="2"/>
        <v>81</v>
      </c>
      <c r="B84" s="17" t="s">
        <v>325</v>
      </c>
      <c r="C84" s="1" t="s">
        <v>327</v>
      </c>
      <c r="D84" s="1" t="s">
        <v>326</v>
      </c>
      <c r="E84" s="1"/>
      <c r="F84" s="32"/>
      <c r="G84" s="26" t="s">
        <v>338</v>
      </c>
      <c r="H84" s="1" t="s">
        <v>358</v>
      </c>
      <c r="I84" s="1" t="s">
        <v>405</v>
      </c>
      <c r="J84" s="1"/>
      <c r="K84" s="1" t="s">
        <v>222</v>
      </c>
      <c r="L84" s="1" t="s">
        <v>120</v>
      </c>
      <c r="M84" s="1" t="s">
        <v>360</v>
      </c>
      <c r="N84" s="2" t="s">
        <v>359</v>
      </c>
      <c r="O84" s="1"/>
      <c r="P84" s="1" t="s">
        <v>362</v>
      </c>
      <c r="Q84" t="s">
        <v>361</v>
      </c>
    </row>
    <row r="85" spans="1:23" x14ac:dyDescent="0.25">
      <c r="A85" s="2">
        <f t="shared" si="2"/>
        <v>82</v>
      </c>
      <c r="B85" s="30" t="s">
        <v>325</v>
      </c>
      <c r="C85" s="2" t="s">
        <v>327</v>
      </c>
      <c r="D85" s="2" t="s">
        <v>326</v>
      </c>
      <c r="E85" s="2"/>
      <c r="F85" s="33"/>
      <c r="G85" s="27" t="s">
        <v>339</v>
      </c>
      <c r="H85" s="2" t="s">
        <v>363</v>
      </c>
      <c r="I85" s="2" t="s">
        <v>405</v>
      </c>
      <c r="J85" s="2"/>
      <c r="K85" s="1" t="s">
        <v>406</v>
      </c>
      <c r="L85" s="2" t="s">
        <v>120</v>
      </c>
      <c r="M85" s="2" t="s">
        <v>365</v>
      </c>
      <c r="N85" s="2" t="s">
        <v>366</v>
      </c>
      <c r="O85" s="2" t="s">
        <v>367</v>
      </c>
      <c r="P85" s="2" t="s">
        <v>160</v>
      </c>
      <c r="Q85" s="23" t="s">
        <v>364</v>
      </c>
      <c r="W85" s="31"/>
    </row>
    <row r="86" spans="1:23" ht="36" x14ac:dyDescent="0.25">
      <c r="A86" s="1">
        <f t="shared" si="2"/>
        <v>83</v>
      </c>
      <c r="B86" s="17" t="s">
        <v>325</v>
      </c>
      <c r="C86" s="1" t="s">
        <v>327</v>
      </c>
      <c r="D86" s="1" t="s">
        <v>326</v>
      </c>
      <c r="E86" s="1"/>
      <c r="F86" s="32"/>
      <c r="G86" s="26" t="s">
        <v>340</v>
      </c>
      <c r="H86" s="1" t="s">
        <v>341</v>
      </c>
      <c r="I86" s="1" t="s">
        <v>405</v>
      </c>
      <c r="J86" s="1"/>
      <c r="K86" s="1" t="s">
        <v>222</v>
      </c>
      <c r="L86" s="1" t="s">
        <v>368</v>
      </c>
      <c r="M86" s="1"/>
      <c r="N86" s="2"/>
      <c r="O86" s="1"/>
      <c r="P86" s="1"/>
      <c r="Q86" t="s">
        <v>369</v>
      </c>
    </row>
    <row r="87" spans="1:23" x14ac:dyDescent="0.25">
      <c r="A87" s="2">
        <f t="shared" si="2"/>
        <v>84</v>
      </c>
      <c r="B87" s="30" t="s">
        <v>325</v>
      </c>
      <c r="C87" s="2" t="s">
        <v>327</v>
      </c>
      <c r="D87" s="2" t="s">
        <v>326</v>
      </c>
      <c r="E87" s="2"/>
      <c r="F87" s="33"/>
      <c r="G87" s="27" t="s">
        <v>478</v>
      </c>
      <c r="H87" s="2" t="s">
        <v>370</v>
      </c>
      <c r="I87" s="2" t="s">
        <v>405</v>
      </c>
      <c r="J87" s="2"/>
      <c r="K87" s="1" t="s">
        <v>222</v>
      </c>
      <c r="L87" s="2"/>
      <c r="M87" s="2"/>
      <c r="N87" s="2"/>
      <c r="O87" s="2"/>
      <c r="P87" s="2"/>
      <c r="Q87" s="23"/>
      <c r="W87" s="31"/>
    </row>
    <row r="88" spans="1:23" ht="21.95" customHeight="1" x14ac:dyDescent="0.25">
      <c r="A88" s="1">
        <f t="shared" si="2"/>
        <v>85</v>
      </c>
      <c r="B88" s="17" t="s">
        <v>325</v>
      </c>
      <c r="C88" s="1" t="s">
        <v>372</v>
      </c>
      <c r="D88" s="1" t="s">
        <v>371</v>
      </c>
      <c r="E88" s="1"/>
      <c r="F88" s="26"/>
      <c r="G88" s="26" t="s">
        <v>172</v>
      </c>
      <c r="H88" s="1" t="s">
        <v>379</v>
      </c>
      <c r="I88" s="1"/>
      <c r="J88" s="1"/>
      <c r="K88" s="1" t="s">
        <v>222</v>
      </c>
      <c r="L88" s="1" t="s">
        <v>120</v>
      </c>
      <c r="M88" s="1" t="s">
        <v>377</v>
      </c>
      <c r="N88" s="2" t="s">
        <v>374</v>
      </c>
      <c r="O88" s="1" t="s">
        <v>378</v>
      </c>
      <c r="P88" s="1" t="s">
        <v>160</v>
      </c>
      <c r="Q88" t="s">
        <v>383</v>
      </c>
    </row>
    <row r="89" spans="1:23" ht="60" x14ac:dyDescent="0.25">
      <c r="A89" s="2">
        <f t="shared" si="2"/>
        <v>86</v>
      </c>
      <c r="B89" s="30" t="s">
        <v>325</v>
      </c>
      <c r="C89" s="2" t="s">
        <v>372</v>
      </c>
      <c r="D89" s="2" t="s">
        <v>371</v>
      </c>
      <c r="E89" s="2"/>
      <c r="F89" s="27"/>
      <c r="G89" s="27" t="s">
        <v>373</v>
      </c>
      <c r="H89" s="2" t="s">
        <v>381</v>
      </c>
      <c r="I89" s="2"/>
      <c r="J89" s="2"/>
      <c r="K89" s="1" t="s">
        <v>382</v>
      </c>
      <c r="L89" s="2" t="s">
        <v>214</v>
      </c>
      <c r="M89" s="2" t="s">
        <v>377</v>
      </c>
      <c r="N89" s="2" t="s">
        <v>385</v>
      </c>
      <c r="O89" s="2" t="s">
        <v>386</v>
      </c>
      <c r="P89" s="2" t="s">
        <v>387</v>
      </c>
      <c r="Q89" s="23" t="s">
        <v>380</v>
      </c>
      <c r="W89" s="31"/>
    </row>
    <row r="90" spans="1:23" ht="21.95" customHeight="1" x14ac:dyDescent="0.25">
      <c r="A90" s="1">
        <f t="shared" si="2"/>
        <v>87</v>
      </c>
      <c r="B90" s="17" t="s">
        <v>325</v>
      </c>
      <c r="C90" s="1" t="s">
        <v>372</v>
      </c>
      <c r="D90" s="1" t="s">
        <v>371</v>
      </c>
      <c r="E90" s="1"/>
      <c r="F90" s="26"/>
      <c r="G90" s="26" t="s">
        <v>375</v>
      </c>
      <c r="H90" s="1" t="s">
        <v>388</v>
      </c>
      <c r="I90" s="1"/>
      <c r="J90" s="1" t="s">
        <v>394</v>
      </c>
      <c r="K90" s="1" t="s">
        <v>222</v>
      </c>
      <c r="L90" s="1" t="s">
        <v>123</v>
      </c>
      <c r="M90" s="1" t="s">
        <v>389</v>
      </c>
      <c r="N90" s="2" t="s">
        <v>390</v>
      </c>
      <c r="O90" s="1"/>
      <c r="P90" s="1"/>
    </row>
    <row r="91" spans="1:23" ht="24" x14ac:dyDescent="0.25">
      <c r="A91" s="2">
        <f t="shared" si="2"/>
        <v>88</v>
      </c>
      <c r="B91" s="30" t="s">
        <v>325</v>
      </c>
      <c r="C91" s="2" t="s">
        <v>372</v>
      </c>
      <c r="D91" s="2" t="s">
        <v>371</v>
      </c>
      <c r="E91" s="2"/>
      <c r="F91" s="27"/>
      <c r="G91" s="27" t="s">
        <v>374</v>
      </c>
      <c r="H91" s="2" t="s">
        <v>376</v>
      </c>
      <c r="I91" s="2"/>
      <c r="J91" s="2"/>
      <c r="K91" s="1" t="s">
        <v>222</v>
      </c>
      <c r="L91" s="2" t="s">
        <v>120</v>
      </c>
      <c r="M91" s="2" t="s">
        <v>389</v>
      </c>
      <c r="N91" s="2"/>
      <c r="O91" s="2"/>
      <c r="P91" s="2"/>
      <c r="Q91" s="23"/>
      <c r="W91" s="31"/>
    </row>
    <row r="92" spans="1:23" ht="21.95" customHeight="1" x14ac:dyDescent="0.25">
      <c r="A92" s="1">
        <f t="shared" si="2"/>
        <v>89</v>
      </c>
      <c r="B92" s="17" t="s">
        <v>325</v>
      </c>
      <c r="C92" s="1" t="s">
        <v>372</v>
      </c>
      <c r="D92" s="1" t="s">
        <v>371</v>
      </c>
      <c r="E92" s="1"/>
      <c r="F92" s="26"/>
      <c r="G92" s="26" t="s">
        <v>404</v>
      </c>
      <c r="H92" s="1" t="s">
        <v>391</v>
      </c>
      <c r="I92" s="1"/>
      <c r="J92" s="1"/>
      <c r="K92" s="1" t="s">
        <v>222</v>
      </c>
      <c r="L92" s="1" t="s">
        <v>392</v>
      </c>
      <c r="M92" s="1" t="s">
        <v>389</v>
      </c>
      <c r="N92" s="2" t="s">
        <v>393</v>
      </c>
      <c r="O92" s="1"/>
      <c r="P92" s="1"/>
    </row>
    <row r="93" spans="1:23" ht="24" x14ac:dyDescent="0.25">
      <c r="A93" s="2">
        <f t="shared" si="2"/>
        <v>90</v>
      </c>
      <c r="B93" s="30" t="s">
        <v>325</v>
      </c>
      <c r="C93" s="2" t="s">
        <v>372</v>
      </c>
      <c r="D93" s="2" t="s">
        <v>371</v>
      </c>
      <c r="E93" s="2"/>
      <c r="F93" s="27"/>
      <c r="G93" s="27" t="s">
        <v>170</v>
      </c>
      <c r="H93" s="2" t="s">
        <v>384</v>
      </c>
      <c r="I93" s="2"/>
      <c r="J93" s="2"/>
      <c r="K93" s="1"/>
      <c r="L93" s="2"/>
      <c r="M93" s="2"/>
      <c r="N93" s="2"/>
      <c r="O93" s="2"/>
      <c r="P93" s="2"/>
      <c r="Q93" s="23"/>
      <c r="W93" s="31"/>
    </row>
    <row r="94" spans="1:23" ht="21.95" customHeight="1" x14ac:dyDescent="0.25">
      <c r="A94" s="1">
        <f t="shared" si="2"/>
        <v>91</v>
      </c>
      <c r="B94" s="17" t="s">
        <v>325</v>
      </c>
      <c r="C94" s="1" t="s">
        <v>372</v>
      </c>
      <c r="D94" s="1" t="s">
        <v>371</v>
      </c>
      <c r="E94" s="1"/>
      <c r="F94" s="26"/>
      <c r="G94" s="26" t="s">
        <v>395</v>
      </c>
      <c r="H94" s="1" t="s">
        <v>396</v>
      </c>
      <c r="I94" s="1"/>
      <c r="J94" s="1"/>
      <c r="K94" s="1" t="s">
        <v>406</v>
      </c>
      <c r="L94" s="1" t="s">
        <v>214</v>
      </c>
      <c r="M94" s="1" t="s">
        <v>397</v>
      </c>
      <c r="N94" s="2" t="s">
        <v>398</v>
      </c>
      <c r="O94" s="1"/>
      <c r="P94" s="1"/>
    </row>
    <row r="95" spans="1:23" ht="36" x14ac:dyDescent="0.25">
      <c r="A95" s="2">
        <f t="shared" si="2"/>
        <v>92</v>
      </c>
      <c r="B95" s="30" t="s">
        <v>325</v>
      </c>
      <c r="C95" s="2" t="s">
        <v>409</v>
      </c>
      <c r="D95" s="2" t="s">
        <v>410</v>
      </c>
      <c r="E95" s="2"/>
      <c r="F95" s="27"/>
      <c r="G95" s="27" t="s">
        <v>411</v>
      </c>
      <c r="H95" s="2" t="s">
        <v>413</v>
      </c>
      <c r="I95" s="2" t="s">
        <v>405</v>
      </c>
      <c r="J95" s="2"/>
      <c r="K95" s="1" t="s">
        <v>222</v>
      </c>
      <c r="L95" s="2" t="s">
        <v>214</v>
      </c>
      <c r="M95" s="2" t="s">
        <v>345</v>
      </c>
      <c r="N95" s="2"/>
      <c r="O95" s="2"/>
      <c r="P95" s="2"/>
      <c r="Q95" s="23"/>
      <c r="W95" s="31"/>
    </row>
    <row r="96" spans="1:23" ht="21.95" customHeight="1" x14ac:dyDescent="0.25">
      <c r="A96" s="1">
        <f t="shared" si="2"/>
        <v>93</v>
      </c>
      <c r="B96" s="17" t="s">
        <v>325</v>
      </c>
      <c r="C96" s="1" t="s">
        <v>409</v>
      </c>
      <c r="D96" s="1" t="s">
        <v>410</v>
      </c>
      <c r="E96" s="1"/>
      <c r="F96" s="26"/>
      <c r="G96" s="26" t="s">
        <v>404</v>
      </c>
      <c r="H96" s="1" t="s">
        <v>414</v>
      </c>
      <c r="I96" s="1" t="s">
        <v>405</v>
      </c>
      <c r="J96" s="1"/>
      <c r="K96" s="1" t="s">
        <v>222</v>
      </c>
      <c r="L96" s="1" t="s">
        <v>123</v>
      </c>
      <c r="M96" s="1" t="s">
        <v>345</v>
      </c>
      <c r="N96" s="2"/>
      <c r="O96" s="1"/>
      <c r="P96" s="1"/>
    </row>
    <row r="97" spans="1:23" x14ac:dyDescent="0.25">
      <c r="A97" s="2">
        <f t="shared" si="2"/>
        <v>94</v>
      </c>
      <c r="B97" s="30" t="s">
        <v>325</v>
      </c>
      <c r="C97" s="2" t="s">
        <v>409</v>
      </c>
      <c r="D97" s="2" t="s">
        <v>410</v>
      </c>
      <c r="E97" s="2"/>
      <c r="F97" s="27"/>
      <c r="G97" s="27" t="s">
        <v>283</v>
      </c>
      <c r="H97" s="2" t="s">
        <v>415</v>
      </c>
      <c r="I97" s="2" t="s">
        <v>119</v>
      </c>
      <c r="J97" s="2"/>
      <c r="K97" s="1" t="s">
        <v>222</v>
      </c>
      <c r="L97" s="2" t="s">
        <v>420</v>
      </c>
      <c r="M97" s="2" t="s">
        <v>421</v>
      </c>
      <c r="N97" s="2"/>
      <c r="O97" s="2"/>
      <c r="P97" s="2"/>
      <c r="Q97" s="23"/>
      <c r="W97" s="31"/>
    </row>
    <row r="98" spans="1:23" ht="21.95" customHeight="1" x14ac:dyDescent="0.25">
      <c r="A98" s="1">
        <f t="shared" si="2"/>
        <v>95</v>
      </c>
      <c r="B98" s="17" t="s">
        <v>325</v>
      </c>
      <c r="C98" s="1" t="s">
        <v>409</v>
      </c>
      <c r="D98" s="1" t="s">
        <v>410</v>
      </c>
      <c r="E98" s="1"/>
      <c r="F98" s="26"/>
      <c r="G98" s="26" t="s">
        <v>308</v>
      </c>
      <c r="H98" s="1" t="s">
        <v>412</v>
      </c>
      <c r="I98" s="1" t="s">
        <v>144</v>
      </c>
      <c r="J98" s="1"/>
      <c r="K98" s="1" t="s">
        <v>406</v>
      </c>
      <c r="L98" s="1" t="s">
        <v>120</v>
      </c>
      <c r="M98" s="1" t="s">
        <v>232</v>
      </c>
      <c r="N98" s="2"/>
      <c r="O98" s="1"/>
      <c r="P98" s="1"/>
    </row>
    <row r="99" spans="1:23" ht="30" x14ac:dyDescent="0.25">
      <c r="A99" s="2">
        <f t="shared" si="2"/>
        <v>96</v>
      </c>
      <c r="B99" s="30" t="s">
        <v>325</v>
      </c>
      <c r="C99" s="2" t="s">
        <v>409</v>
      </c>
      <c r="D99" s="2" t="s">
        <v>410</v>
      </c>
      <c r="E99" s="2"/>
      <c r="F99" s="27"/>
      <c r="G99" s="27" t="s">
        <v>170</v>
      </c>
      <c r="H99" s="2" t="s">
        <v>416</v>
      </c>
      <c r="I99" s="2" t="s">
        <v>405</v>
      </c>
      <c r="J99" s="2"/>
      <c r="K99" s="1" t="s">
        <v>222</v>
      </c>
      <c r="L99" s="2" t="s">
        <v>120</v>
      </c>
      <c r="M99" s="2" t="s">
        <v>422</v>
      </c>
      <c r="N99" s="2"/>
      <c r="O99" s="2"/>
      <c r="P99" s="2"/>
      <c r="Q99" s="23" t="s">
        <v>424</v>
      </c>
      <c r="W99" s="31"/>
    </row>
    <row r="100" spans="1:23" ht="21.95" customHeight="1" x14ac:dyDescent="0.25">
      <c r="A100" s="1">
        <f t="shared" si="2"/>
        <v>97</v>
      </c>
      <c r="B100" s="17" t="s">
        <v>325</v>
      </c>
      <c r="C100" s="1" t="s">
        <v>409</v>
      </c>
      <c r="D100" s="1" t="s">
        <v>410</v>
      </c>
      <c r="E100" s="1"/>
      <c r="F100" s="26"/>
      <c r="G100" s="26" t="s">
        <v>143</v>
      </c>
      <c r="H100" s="1" t="s">
        <v>417</v>
      </c>
      <c r="I100" s="1" t="s">
        <v>144</v>
      </c>
      <c r="J100" s="1"/>
      <c r="K100" s="1" t="s">
        <v>222</v>
      </c>
      <c r="L100" s="1" t="s">
        <v>120</v>
      </c>
      <c r="M100" s="1" t="s">
        <v>422</v>
      </c>
      <c r="N100" s="2" t="s">
        <v>426</v>
      </c>
      <c r="O100" s="1"/>
      <c r="P100" s="1"/>
    </row>
    <row r="101" spans="1:23" ht="36" x14ac:dyDescent="0.25">
      <c r="A101" s="2">
        <f t="shared" si="2"/>
        <v>98</v>
      </c>
      <c r="B101" s="30" t="s">
        <v>325</v>
      </c>
      <c r="C101" s="2" t="s">
        <v>409</v>
      </c>
      <c r="D101" s="2" t="s">
        <v>410</v>
      </c>
      <c r="E101" s="2"/>
      <c r="F101" s="27"/>
      <c r="G101" s="27" t="s">
        <v>164</v>
      </c>
      <c r="H101" s="2" t="s">
        <v>423</v>
      </c>
      <c r="I101" s="2" t="s">
        <v>119</v>
      </c>
      <c r="J101" s="2"/>
      <c r="K101" s="1" t="s">
        <v>222</v>
      </c>
      <c r="L101" s="2" t="s">
        <v>120</v>
      </c>
      <c r="M101" s="2" t="s">
        <v>422</v>
      </c>
      <c r="N101" s="2"/>
      <c r="O101" s="2"/>
      <c r="P101" s="2"/>
      <c r="Q101" s="23"/>
      <c r="W101" s="31"/>
    </row>
    <row r="102" spans="1:23" ht="21.95" customHeight="1" x14ac:dyDescent="0.25">
      <c r="A102" s="1">
        <f t="shared" si="2"/>
        <v>99</v>
      </c>
      <c r="B102" s="17" t="s">
        <v>325</v>
      </c>
      <c r="C102" s="1" t="s">
        <v>409</v>
      </c>
      <c r="D102" s="1" t="s">
        <v>410</v>
      </c>
      <c r="E102" s="1"/>
      <c r="F102" s="26"/>
      <c r="G102" s="26" t="s">
        <v>477</v>
      </c>
      <c r="H102" s="1" t="s">
        <v>418</v>
      </c>
      <c r="I102" s="1" t="s">
        <v>425</v>
      </c>
      <c r="J102" s="1"/>
      <c r="K102" s="1" t="s">
        <v>406</v>
      </c>
      <c r="L102" s="1" t="s">
        <v>187</v>
      </c>
      <c r="M102" s="1"/>
      <c r="N102" s="2"/>
      <c r="O102" s="1"/>
      <c r="P102" s="1"/>
      <c r="Q102" t="s">
        <v>419</v>
      </c>
    </row>
    <row r="103" spans="1:23" ht="48" x14ac:dyDescent="0.25">
      <c r="A103" s="20" t="s">
        <v>16</v>
      </c>
      <c r="D103">
        <f>COUNTA(_xlfn.UNIQUE('📋 Collecte Entretiens'!D4:D94,FALSE,FALSE))</f>
        <v>16</v>
      </c>
      <c r="F103"/>
      <c r="G103">
        <f>COUNTA(_xlfn.UNIQUE('📋 Collecte Entretiens'!G4:G94,FALSE,FALSE))</f>
        <v>51</v>
      </c>
      <c r="H103" s="1"/>
      <c r="I103" s="28"/>
      <c r="J103" s="3"/>
      <c r="K103" s="3"/>
      <c r="L103" s="3"/>
      <c r="M103" s="3"/>
      <c r="N103" s="3"/>
      <c r="O103" s="3"/>
      <c r="P103" s="3"/>
      <c r="Q103" s="3"/>
    </row>
    <row r="104" spans="1:23" x14ac:dyDescent="0.25">
      <c r="G104" s="24"/>
    </row>
    <row r="105" spans="1:23" x14ac:dyDescent="0.25">
      <c r="G105" s="24"/>
    </row>
    <row r="106" spans="1:23" x14ac:dyDescent="0.25">
      <c r="G106" s="24"/>
    </row>
    <row r="107" spans="1:23" x14ac:dyDescent="0.25">
      <c r="G107" s="24"/>
    </row>
    <row r="108" spans="1:23" x14ac:dyDescent="0.25">
      <c r="G108" s="24"/>
    </row>
    <row r="109" spans="1:23" x14ac:dyDescent="0.25">
      <c r="G109" s="24"/>
    </row>
    <row r="110" spans="1:23" x14ac:dyDescent="0.25">
      <c r="G110" s="24"/>
    </row>
    <row r="111" spans="1:23" x14ac:dyDescent="0.25">
      <c r="G111" s="24"/>
    </row>
    <row r="112" spans="1:23" x14ac:dyDescent="0.25">
      <c r="G112" s="24"/>
    </row>
    <row r="113" spans="7:7" x14ac:dyDescent="0.25">
      <c r="G113" s="24"/>
    </row>
    <row r="114" spans="7:7" x14ac:dyDescent="0.25">
      <c r="G114" s="24"/>
    </row>
    <row r="115" spans="7:7" x14ac:dyDescent="0.25">
      <c r="G115" s="24"/>
    </row>
    <row r="116" spans="7:7" x14ac:dyDescent="0.25">
      <c r="G116" s="24"/>
    </row>
    <row r="117" spans="7:7" x14ac:dyDescent="0.25">
      <c r="G117" s="24"/>
    </row>
    <row r="118" spans="7:7" x14ac:dyDescent="0.25">
      <c r="G118" s="24"/>
    </row>
    <row r="119" spans="7:7" x14ac:dyDescent="0.25">
      <c r="G119" s="24"/>
    </row>
    <row r="120" spans="7:7" x14ac:dyDescent="0.25">
      <c r="G120" s="24"/>
    </row>
    <row r="121" spans="7:7" x14ac:dyDescent="0.25">
      <c r="G121" s="24"/>
    </row>
    <row r="122" spans="7:7" x14ac:dyDescent="0.25">
      <c r="G122" s="24"/>
    </row>
    <row r="123" spans="7:7" x14ac:dyDescent="0.25">
      <c r="G123" s="24"/>
    </row>
    <row r="124" spans="7:7" x14ac:dyDescent="0.25">
      <c r="G124" s="24"/>
    </row>
    <row r="125" spans="7:7" x14ac:dyDescent="0.25">
      <c r="G125" s="24"/>
    </row>
    <row r="126" spans="7:7" x14ac:dyDescent="0.25">
      <c r="G126" s="24"/>
    </row>
    <row r="127" spans="7:7" x14ac:dyDescent="0.25">
      <c r="G127" s="24"/>
    </row>
    <row r="128" spans="7:7" x14ac:dyDescent="0.25">
      <c r="G128" s="24"/>
    </row>
    <row r="129" spans="7:7" x14ac:dyDescent="0.25">
      <c r="G129" s="24"/>
    </row>
    <row r="130" spans="7:7" x14ac:dyDescent="0.25">
      <c r="G130" s="24"/>
    </row>
    <row r="131" spans="7:7" x14ac:dyDescent="0.25">
      <c r="G131" s="24"/>
    </row>
    <row r="132" spans="7:7" x14ac:dyDescent="0.25">
      <c r="G132" s="24"/>
    </row>
    <row r="133" spans="7:7" x14ac:dyDescent="0.25">
      <c r="G133" s="24"/>
    </row>
    <row r="134" spans="7:7" x14ac:dyDescent="0.25">
      <c r="G134" s="24"/>
    </row>
    <row r="135" spans="7:7" x14ac:dyDescent="0.25">
      <c r="G135" s="24"/>
    </row>
    <row r="136" spans="7:7" x14ac:dyDescent="0.25">
      <c r="G136" s="24"/>
    </row>
    <row r="137" spans="7:7" x14ac:dyDescent="0.25">
      <c r="G137" s="24"/>
    </row>
    <row r="138" spans="7:7" x14ac:dyDescent="0.25">
      <c r="G138" s="24"/>
    </row>
    <row r="139" spans="7:7" x14ac:dyDescent="0.25">
      <c r="G139" s="24"/>
    </row>
    <row r="140" spans="7:7" x14ac:dyDescent="0.25">
      <c r="G140" s="24"/>
    </row>
    <row r="141" spans="7:7" x14ac:dyDescent="0.25">
      <c r="G141" s="24"/>
    </row>
    <row r="142" spans="7:7" x14ac:dyDescent="0.25">
      <c r="G142" s="24"/>
    </row>
    <row r="143" spans="7:7" x14ac:dyDescent="0.25">
      <c r="G143" s="24"/>
    </row>
  </sheetData>
  <mergeCells count="2">
    <mergeCell ref="A1:P1"/>
    <mergeCell ref="A2:P2"/>
  </mergeCells>
  <phoneticPr fontId="14" type="noConversion"/>
  <dataValidations count="5">
    <dataValidation type="list" sqref="P17 O4:O13 O15:O102" xr:uid="{00000000-0002-0000-0000-000003000000}">
      <formula1>"1 – Basique,2 – En développement,3 – Mature,4 – Optimisé"</formula1>
    </dataValidation>
    <dataValidation type="list" sqref="L4:L18 L29 K93 K73 K89" xr:uid="{00000000-0002-0000-0000-000001000000}">
      <formula1>"Quotidien,Hebdomadaire,Mensuel,Ponctuel,Temps réel"</formula1>
    </dataValidation>
    <dataValidation type="list" sqref="J4:J102" xr:uid="{00000000-0002-0000-0000-000002000000}">
      <formula1>"Manuelle,Automatique,Semi-automatique"</formula1>
    </dataValidation>
    <dataValidation type="list" sqref="H4:H102" xr:uid="{00000000-0002-0000-0000-000000000000}">
      <formula1>"Interne,Externe,À confirmer"</formula1>
    </dataValidation>
    <dataValidation type="list" allowBlank="1" showInputMessage="1" showErrorMessage="1" sqref="F4:F102" xr:uid="{37F34E1C-15D7-4E78-B617-24259615A6B2}">
      <formula1>$W$5:$W$7</formula1>
    </dataValidation>
  </dataValidations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showGridLines="0" workbookViewId="0">
      <selection activeCell="C28" sqref="C28"/>
    </sheetView>
  </sheetViews>
  <sheetFormatPr baseColWidth="10" defaultColWidth="9.140625" defaultRowHeight="15" x14ac:dyDescent="0.25"/>
  <cols>
    <col min="1" max="1" width="6" customWidth="1"/>
    <col min="2" max="2" width="55" customWidth="1"/>
    <col min="3" max="3" width="35" customWidth="1"/>
  </cols>
  <sheetData>
    <row r="1" spans="1:3" ht="30" customHeight="1" x14ac:dyDescent="0.25">
      <c r="A1" s="39" t="s">
        <v>56</v>
      </c>
      <c r="B1" s="37"/>
      <c r="C1" s="37"/>
    </row>
    <row r="2" spans="1:3" ht="18" customHeight="1" x14ac:dyDescent="0.25">
      <c r="A2" s="38" t="s">
        <v>57</v>
      </c>
      <c r="B2" s="37"/>
      <c r="C2" s="37"/>
    </row>
    <row r="3" spans="1:3" ht="21.95" customHeight="1" x14ac:dyDescent="0.25">
      <c r="A3" s="36" t="s">
        <v>58</v>
      </c>
      <c r="B3" s="37"/>
      <c r="C3" s="37"/>
    </row>
    <row r="4" spans="1:3" ht="27.95" customHeight="1" x14ac:dyDescent="0.25">
      <c r="A4" s="11" t="s">
        <v>59</v>
      </c>
      <c r="B4" s="18" t="s">
        <v>110</v>
      </c>
      <c r="C4" s="12" t="s">
        <v>60</v>
      </c>
    </row>
    <row r="5" spans="1:3" ht="21.95" customHeight="1" x14ac:dyDescent="0.25">
      <c r="A5" s="36" t="s">
        <v>18</v>
      </c>
      <c r="B5" s="37"/>
      <c r="C5" s="37"/>
    </row>
    <row r="6" spans="1:3" ht="21.95" customHeight="1" x14ac:dyDescent="0.25">
      <c r="A6" s="13" t="s">
        <v>61</v>
      </c>
      <c r="B6" s="18" t="s">
        <v>62</v>
      </c>
      <c r="C6" s="12" t="s">
        <v>63</v>
      </c>
    </row>
    <row r="7" spans="1:3" ht="21.95" customHeight="1" x14ac:dyDescent="0.25">
      <c r="A7" s="14" t="s">
        <v>64</v>
      </c>
      <c r="B7" s="19" t="s">
        <v>65</v>
      </c>
      <c r="C7" s="15" t="s">
        <v>66</v>
      </c>
    </row>
    <row r="8" spans="1:3" ht="21.95" customHeight="1" x14ac:dyDescent="0.25">
      <c r="A8" s="36" t="s">
        <v>23</v>
      </c>
      <c r="B8" s="37"/>
      <c r="C8" s="37"/>
    </row>
    <row r="9" spans="1:3" ht="21.95" customHeight="1" x14ac:dyDescent="0.25">
      <c r="A9" s="16" t="s">
        <v>67</v>
      </c>
      <c r="B9" t="s">
        <v>68</v>
      </c>
      <c r="C9" s="15" t="s">
        <v>69</v>
      </c>
    </row>
    <row r="10" spans="1:3" ht="21.95" customHeight="1" x14ac:dyDescent="0.25">
      <c r="A10" s="11" t="s">
        <v>70</v>
      </c>
      <c r="B10" s="2" t="s">
        <v>71</v>
      </c>
      <c r="C10" s="12" t="s">
        <v>72</v>
      </c>
    </row>
    <row r="11" spans="1:3" ht="21.95" customHeight="1" x14ac:dyDescent="0.25">
      <c r="A11" s="36" t="s">
        <v>28</v>
      </c>
      <c r="B11" s="37"/>
      <c r="C11" s="37"/>
    </row>
    <row r="12" spans="1:3" ht="27.95" customHeight="1" x14ac:dyDescent="0.25">
      <c r="A12" s="13" t="s">
        <v>73</v>
      </c>
      <c r="B12" t="s">
        <v>74</v>
      </c>
      <c r="C12" t="s">
        <v>75</v>
      </c>
    </row>
    <row r="13" spans="1:3" ht="21.95" customHeight="1" x14ac:dyDescent="0.25">
      <c r="A13" s="14" t="s">
        <v>76</v>
      </c>
      <c r="B13" s="1" t="s">
        <v>77</v>
      </c>
      <c r="C13" s="15" t="s">
        <v>78</v>
      </c>
    </row>
    <row r="14" spans="1:3" ht="21.95" customHeight="1" x14ac:dyDescent="0.25">
      <c r="A14" s="36" t="s">
        <v>79</v>
      </c>
      <c r="B14" s="37"/>
      <c r="C14" s="37"/>
    </row>
    <row r="15" spans="1:3" ht="27.95" customHeight="1" x14ac:dyDescent="0.25">
      <c r="A15" s="16" t="s">
        <v>80</v>
      </c>
      <c r="B15" s="1" t="s">
        <v>81</v>
      </c>
      <c r="C15" s="15" t="s">
        <v>33</v>
      </c>
    </row>
    <row r="16" spans="1:3" ht="21.95" customHeight="1" x14ac:dyDescent="0.25">
      <c r="A16" s="13" t="s">
        <v>82</v>
      </c>
      <c r="B16" s="2" t="s">
        <v>83</v>
      </c>
      <c r="C16" s="12" t="s">
        <v>84</v>
      </c>
    </row>
    <row r="17" spans="1:3" ht="21.95" customHeight="1" x14ac:dyDescent="0.25">
      <c r="A17" s="16" t="s">
        <v>85</v>
      </c>
      <c r="B17" s="1" t="s">
        <v>86</v>
      </c>
      <c r="C17" s="15" t="s">
        <v>87</v>
      </c>
    </row>
    <row r="18" spans="1:3" ht="21.95" customHeight="1" x14ac:dyDescent="0.25">
      <c r="A18" s="36" t="s">
        <v>88</v>
      </c>
      <c r="B18" s="37"/>
      <c r="C18" s="37"/>
    </row>
    <row r="19" spans="1:3" ht="21.95" customHeight="1" x14ac:dyDescent="0.25">
      <c r="A19" s="16" t="s">
        <v>89</v>
      </c>
      <c r="B19" s="1" t="s">
        <v>90</v>
      </c>
      <c r="C19" s="15" t="s">
        <v>91</v>
      </c>
    </row>
    <row r="20" spans="1:3" ht="21.95" customHeight="1" x14ac:dyDescent="0.25">
      <c r="A20" s="13" t="s">
        <v>92</v>
      </c>
      <c r="B20" s="2" t="s">
        <v>93</v>
      </c>
      <c r="C20" s="12" t="s">
        <v>94</v>
      </c>
    </row>
    <row r="21" spans="1:3" ht="21.95" customHeight="1" x14ac:dyDescent="0.25">
      <c r="A21" s="14" t="s">
        <v>95</v>
      </c>
      <c r="B21" s="1" t="s">
        <v>96</v>
      </c>
      <c r="C21" s="15" t="s">
        <v>97</v>
      </c>
    </row>
    <row r="22" spans="1:3" ht="21.95" customHeight="1" x14ac:dyDescent="0.25">
      <c r="A22" s="36" t="s">
        <v>39</v>
      </c>
      <c r="B22" s="37"/>
      <c r="C22" s="37"/>
    </row>
    <row r="23" spans="1:3" ht="21.95" customHeight="1" x14ac:dyDescent="0.25">
      <c r="A23" s="14" t="s">
        <v>98</v>
      </c>
      <c r="B23" s="1" t="s">
        <v>99</v>
      </c>
      <c r="C23" s="15" t="s">
        <v>100</v>
      </c>
    </row>
    <row r="24" spans="1:3" ht="21.95" customHeight="1" x14ac:dyDescent="0.25">
      <c r="A24" s="11" t="s">
        <v>101</v>
      </c>
      <c r="B24" s="2" t="s">
        <v>102</v>
      </c>
      <c r="C24" s="12" t="s">
        <v>42</v>
      </c>
    </row>
    <row r="25" spans="1:3" ht="21.95" customHeight="1" x14ac:dyDescent="0.25">
      <c r="A25" s="14" t="s">
        <v>103</v>
      </c>
      <c r="B25" s="1" t="s">
        <v>104</v>
      </c>
      <c r="C25" s="15" t="s">
        <v>105</v>
      </c>
    </row>
    <row r="26" spans="1:3" ht="21.95" customHeight="1" x14ac:dyDescent="0.25">
      <c r="A26" s="36" t="s">
        <v>106</v>
      </c>
      <c r="B26" s="37"/>
      <c r="C26" s="37"/>
    </row>
    <row r="27" spans="1:3" ht="27.95" customHeight="1" x14ac:dyDescent="0.25">
      <c r="A27" s="14" t="s">
        <v>107</v>
      </c>
      <c r="B27" s="1" t="s">
        <v>108</v>
      </c>
      <c r="C27" s="15" t="s">
        <v>109</v>
      </c>
    </row>
  </sheetData>
  <mergeCells count="10">
    <mergeCell ref="A26:C26"/>
    <mergeCell ref="A2:C2"/>
    <mergeCell ref="A11:C11"/>
    <mergeCell ref="A1:C1"/>
    <mergeCell ref="A5:C5"/>
    <mergeCell ref="A8:C8"/>
    <mergeCell ref="A14:C14"/>
    <mergeCell ref="A22:C22"/>
    <mergeCell ref="A18:C1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showGridLines="0" topLeftCell="A32" workbookViewId="0">
      <selection activeCell="I56" sqref="I56"/>
    </sheetView>
  </sheetViews>
  <sheetFormatPr baseColWidth="10" defaultColWidth="9.140625" defaultRowHeight="15" x14ac:dyDescent="0.25"/>
  <cols>
    <col min="1" max="1" width="38" customWidth="1"/>
    <col min="2" max="2" width="18" customWidth="1"/>
    <col min="3" max="3" width="24" customWidth="1"/>
  </cols>
  <sheetData>
    <row r="1" spans="1:10" ht="30" customHeight="1" x14ac:dyDescent="0.25">
      <c r="A1" s="39" t="s">
        <v>45</v>
      </c>
      <c r="B1" s="37"/>
      <c r="C1" s="37"/>
      <c r="D1" s="37"/>
      <c r="E1" s="37"/>
      <c r="F1" s="37"/>
    </row>
    <row r="3" spans="1:10" ht="21.95" customHeight="1" x14ac:dyDescent="0.25">
      <c r="A3" s="6" t="s">
        <v>46</v>
      </c>
      <c r="B3" s="4" t="s">
        <v>47</v>
      </c>
      <c r="C3" s="4" t="s">
        <v>48</v>
      </c>
      <c r="H3" t="str" cm="1">
        <f t="array" ref="H3:H18">_xlfn.UNIQUE('📋 Collecte Entretiens'!D4:D93)</f>
        <v xml:space="preserve">Julie  </v>
      </c>
      <c r="I3" t="str" cm="1">
        <f t="array" ref="I3:I53">_xlfn._xlws.SORT(_xlfn.UNIQUE('📋 Collecte Entretiens'!G4:G94,FALSE,FALSE))</f>
        <v>Anaconda</v>
      </c>
      <c r="J3" t="str">
        <f>INDEX('📋 Collecte Entretiens'!K4:K94,MATCH('📊 Tableau de Bord'!I3,'📋 Collecte Entretiens'!G4:G94,0))</f>
        <v>Manuel</v>
      </c>
    </row>
    <row r="4" spans="1:10" ht="21.95" customHeight="1" x14ac:dyDescent="0.25">
      <c r="A4" s="7" t="s">
        <v>49</v>
      </c>
      <c r="B4" s="8">
        <f>'📋 Collecte Entretiens'!D103</f>
        <v>16</v>
      </c>
      <c r="C4" s="8" t="s">
        <v>50</v>
      </c>
      <c r="H4" t="str">
        <v>Alexandre</v>
      </c>
      <c r="I4" t="str">
        <v>Autocad</v>
      </c>
    </row>
    <row r="5" spans="1:10" ht="21.95" customHeight="1" x14ac:dyDescent="0.25">
      <c r="A5" s="9" t="s">
        <v>51</v>
      </c>
      <c r="B5" s="10">
        <f>'📋 Collecte Entretiens'!G103</f>
        <v>51</v>
      </c>
      <c r="C5" s="10" t="s">
        <v>50</v>
      </c>
      <c r="H5" t="str">
        <v xml:space="preserve">Alexandre </v>
      </c>
      <c r="I5" t="str">
        <v>Baseware</v>
      </c>
    </row>
    <row r="6" spans="1:10" ht="21.95" customHeight="1" x14ac:dyDescent="0.25">
      <c r="A6" s="7" t="s">
        <v>52</v>
      </c>
      <c r="B6" s="8">
        <f>COUNTIF('📋 Collecte Entretiens'!I4:I103,"Interne")</f>
        <v>13</v>
      </c>
      <c r="C6" s="8" t="s">
        <v>50</v>
      </c>
      <c r="H6" t="str">
        <v>Etienne</v>
      </c>
      <c r="I6" t="str">
        <v>BATIS</v>
      </c>
    </row>
    <row r="7" spans="1:10" ht="21.95" customHeight="1" x14ac:dyDescent="0.25">
      <c r="A7" s="9" t="s">
        <v>53</v>
      </c>
      <c r="B7" s="10">
        <f>COUNTIF('📋 Collecte Entretiens'!I4:I103,"Externe")</f>
        <v>47</v>
      </c>
      <c r="C7" s="10" t="s">
        <v>50</v>
      </c>
      <c r="H7" t="str">
        <v>Martin</v>
      </c>
      <c r="I7" t="str">
        <v>BIM vision</v>
      </c>
    </row>
    <row r="8" spans="1:10" ht="21.95" customHeight="1" x14ac:dyDescent="0.25">
      <c r="A8" s="7" t="s">
        <v>54</v>
      </c>
      <c r="B8" s="8">
        <f>COUNTIF('📋 Collecte Entretiens'!K4:K103,"Manuel")</f>
        <v>84</v>
      </c>
      <c r="C8" s="8" t="s">
        <v>50</v>
      </c>
      <c r="H8" t="str">
        <v>Thierry</v>
      </c>
      <c r="I8" t="str">
        <v xml:space="preserve">BIP /BAPS </v>
      </c>
    </row>
    <row r="9" spans="1:10" ht="21.95" customHeight="1" x14ac:dyDescent="0.25">
      <c r="A9" s="9" t="s">
        <v>55</v>
      </c>
      <c r="B9" s="10">
        <f>COUNTIF('📋 Collecte Entretiens'!K4:K103,"Automatique")</f>
        <v>9</v>
      </c>
      <c r="C9" s="10" t="s">
        <v>50</v>
      </c>
      <c r="H9" t="str">
        <v xml:space="preserve">Thierry </v>
      </c>
      <c r="I9" t="str">
        <v xml:space="preserve">BY MY SITE </v>
      </c>
    </row>
    <row r="10" spans="1:10" x14ac:dyDescent="0.25">
      <c r="H10" t="str">
        <v>Morgan</v>
      </c>
      <c r="I10" t="str">
        <v>Cabine de pilotage(Power BI)</v>
      </c>
    </row>
    <row r="11" spans="1:10" x14ac:dyDescent="0.25">
      <c r="H11" t="str">
        <v>Abdellah</v>
      </c>
      <c r="I11" t="str">
        <v>Civil 3D</v>
      </c>
    </row>
    <row r="12" spans="1:10" x14ac:dyDescent="0.25">
      <c r="H12" t="str">
        <v>Benjamin</v>
      </c>
      <c r="I12" t="str">
        <v xml:space="preserve">Covadis </v>
      </c>
    </row>
    <row r="13" spans="1:10" x14ac:dyDescent="0.25">
      <c r="H13" t="str">
        <v>Sabine</v>
      </c>
      <c r="I13" t="str">
        <v>CWT</v>
      </c>
    </row>
    <row r="14" spans="1:10" x14ac:dyDescent="0.25">
      <c r="H14" t="str">
        <v>Valerie</v>
      </c>
      <c r="I14" t="str">
        <v xml:space="preserve">Cyclone 3dr </v>
      </c>
    </row>
    <row r="15" spans="1:10" x14ac:dyDescent="0.25">
      <c r="H15" t="str">
        <v xml:space="preserve">Laurie </v>
      </c>
      <c r="I15" t="str">
        <v>Docusign</v>
      </c>
    </row>
    <row r="16" spans="1:10" x14ac:dyDescent="0.25">
      <c r="H16" t="str">
        <v>r</v>
      </c>
      <c r="I16" t="str">
        <v>E-checking</v>
      </c>
    </row>
    <row r="17" spans="8:9" x14ac:dyDescent="0.25">
      <c r="H17" t="str">
        <v>Camille</v>
      </c>
      <c r="I17" t="str">
        <v>E-paraph</v>
      </c>
    </row>
    <row r="18" spans="8:9" x14ac:dyDescent="0.25">
      <c r="H18" t="str">
        <v>Franck</v>
      </c>
      <c r="I18" t="str">
        <v>E-project</v>
      </c>
    </row>
    <row r="19" spans="8:9" x14ac:dyDescent="0.25">
      <c r="I19" t="str">
        <v>ERP MAT</v>
      </c>
    </row>
    <row r="20" spans="8:9" x14ac:dyDescent="0.25">
      <c r="I20" t="str">
        <v>Excel</v>
      </c>
    </row>
    <row r="21" spans="8:9" x14ac:dyDescent="0.25">
      <c r="I21" t="str">
        <v xml:space="preserve">H&amp;R For you </v>
      </c>
    </row>
    <row r="22" spans="8:9" x14ac:dyDescent="0.25">
      <c r="I22" t="str">
        <v xml:space="preserve">Harmony </v>
      </c>
    </row>
    <row r="23" spans="8:9" x14ac:dyDescent="0.25">
      <c r="I23" t="str">
        <v>IDCAPTURE</v>
      </c>
    </row>
    <row r="24" spans="8:9" x14ac:dyDescent="0.25">
      <c r="I24" t="str">
        <v>Inventor</v>
      </c>
    </row>
    <row r="25" spans="8:9" x14ac:dyDescent="0.25">
      <c r="I25" t="str">
        <v>La scene</v>
      </c>
    </row>
    <row r="26" spans="8:9" x14ac:dyDescent="0.25">
      <c r="I26" t="str">
        <v>Lafarge +</v>
      </c>
    </row>
    <row r="27" spans="8:9" x14ac:dyDescent="0.25">
      <c r="I27" t="str">
        <v>Liveobject(ORANGE)</v>
      </c>
    </row>
    <row r="28" spans="8:9" x14ac:dyDescent="0.25">
      <c r="I28" t="str">
        <v xml:space="preserve">Lucee TP </v>
      </c>
    </row>
    <row r="29" spans="8:9" x14ac:dyDescent="0.25">
      <c r="I29" t="str">
        <v>Mezzoteam</v>
      </c>
    </row>
    <row r="30" spans="8:9" x14ac:dyDescent="0.25">
      <c r="I30" t="str">
        <v xml:space="preserve">MIRO </v>
      </c>
    </row>
    <row r="31" spans="8:9" x14ac:dyDescent="0.25">
      <c r="I31" t="str">
        <v>MMS</v>
      </c>
    </row>
    <row r="32" spans="8:9" x14ac:dyDescent="0.25">
      <c r="I32" t="str">
        <v xml:space="preserve">MS PROJECT </v>
      </c>
    </row>
    <row r="33" spans="9:9" x14ac:dyDescent="0.25">
      <c r="I33" t="str">
        <v>NotebookLM</v>
      </c>
    </row>
    <row r="34" spans="9:9" x14ac:dyDescent="0.25">
      <c r="I34" t="str">
        <v>Oasis</v>
      </c>
    </row>
    <row r="35" spans="9:9" x14ac:dyDescent="0.25">
      <c r="I35" t="str">
        <v>Pablo</v>
      </c>
    </row>
    <row r="36" spans="9:9" x14ac:dyDescent="0.25">
      <c r="I36" t="str">
        <v>Pixis</v>
      </c>
    </row>
    <row r="37" spans="9:9" x14ac:dyDescent="0.25">
      <c r="I37" t="str">
        <v>POWER BI</v>
      </c>
    </row>
    <row r="38" spans="9:9" x14ac:dyDescent="0.25">
      <c r="I38" t="str">
        <v>Power Point</v>
      </c>
    </row>
    <row r="39" spans="9:9" x14ac:dyDescent="0.25">
      <c r="I39" t="str">
        <v>Puma</v>
      </c>
    </row>
    <row r="40" spans="9:9" x14ac:dyDescent="0.25">
      <c r="I40" t="str">
        <v>QGIS</v>
      </c>
    </row>
    <row r="41" spans="9:9" x14ac:dyDescent="0.25">
      <c r="I41" t="str">
        <v xml:space="preserve">Quickconnect </v>
      </c>
    </row>
    <row r="42" spans="9:9" x14ac:dyDescent="0.25">
      <c r="I42" t="str">
        <v>Revit</v>
      </c>
    </row>
    <row r="43" spans="9:9" x14ac:dyDescent="0.25">
      <c r="I43" t="str">
        <v xml:space="preserve">Sharepoint </v>
      </c>
    </row>
    <row r="44" spans="9:9" x14ac:dyDescent="0.25">
      <c r="I44" t="str">
        <v>Simple BIM</v>
      </c>
    </row>
    <row r="45" spans="9:9" x14ac:dyDescent="0.25">
      <c r="I45" t="str">
        <v xml:space="preserve">Sixsense monitoring </v>
      </c>
    </row>
    <row r="46" spans="9:9" x14ac:dyDescent="0.25">
      <c r="I46" t="str">
        <v>Sofistik bridge</v>
      </c>
    </row>
    <row r="47" spans="9:9" x14ac:dyDescent="0.25">
      <c r="I47" t="str">
        <v>Tableau</v>
      </c>
    </row>
    <row r="48" spans="9:9" x14ac:dyDescent="0.25">
      <c r="I48" t="str">
        <v>TIPS</v>
      </c>
    </row>
    <row r="49" spans="9:10" x14ac:dyDescent="0.25">
      <c r="I49" t="str">
        <v>Traktor</v>
      </c>
    </row>
    <row r="50" spans="9:10" x14ac:dyDescent="0.25">
      <c r="I50" t="str">
        <v>Trimbleconnect</v>
      </c>
    </row>
    <row r="51" spans="9:10" x14ac:dyDescent="0.25">
      <c r="I51" t="str">
        <v>Wastemarket place (wakio)</v>
      </c>
    </row>
    <row r="52" spans="9:10" x14ac:dyDescent="0.25">
      <c r="I52" t="str">
        <v>Word</v>
      </c>
    </row>
    <row r="53" spans="9:10" x14ac:dyDescent="0.25">
      <c r="I53" t="str">
        <v>YELLOW</v>
      </c>
    </row>
    <row r="56" spans="9:10" x14ac:dyDescent="0.25">
      <c r="I56" t="s">
        <v>471</v>
      </c>
    </row>
    <row r="57" spans="9:10" x14ac:dyDescent="0.25">
      <c r="I57" t="s">
        <v>472</v>
      </c>
    </row>
    <row r="58" spans="9:10" x14ac:dyDescent="0.25">
      <c r="I58" t="s">
        <v>474</v>
      </c>
    </row>
    <row r="59" spans="9:10" x14ac:dyDescent="0.25">
      <c r="I59" t="s">
        <v>473</v>
      </c>
    </row>
    <row r="60" spans="9:10" x14ac:dyDescent="0.25">
      <c r="I60" t="s">
        <v>475</v>
      </c>
      <c r="J60" t="s">
        <v>476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showGridLines="0" workbookViewId="0">
      <selection activeCell="A26" sqref="A26"/>
    </sheetView>
  </sheetViews>
  <sheetFormatPr baseColWidth="10" defaultColWidth="9.140625" defaultRowHeight="15" x14ac:dyDescent="0.25"/>
  <cols>
    <col min="1" max="1" width="28" customWidth="1"/>
    <col min="2" max="2" width="45" customWidth="1"/>
  </cols>
  <sheetData>
    <row r="1" spans="1:2" ht="30" customHeight="1" x14ac:dyDescent="0.25">
      <c r="A1" s="39" t="s">
        <v>17</v>
      </c>
      <c r="B1" s="37"/>
    </row>
    <row r="2" spans="1:2" ht="21.95" customHeight="1" x14ac:dyDescent="0.25">
      <c r="A2" s="36" t="s">
        <v>18</v>
      </c>
      <c r="B2" s="37"/>
    </row>
    <row r="3" spans="1:2" ht="21.95" customHeight="1" x14ac:dyDescent="0.25">
      <c r="A3" s="5" t="s">
        <v>19</v>
      </c>
      <c r="B3" s="2"/>
    </row>
    <row r="4" spans="1:2" ht="21.95" customHeight="1" x14ac:dyDescent="0.25">
      <c r="A4" s="5" t="s">
        <v>20</v>
      </c>
      <c r="B4" s="2"/>
    </row>
    <row r="5" spans="1:2" ht="21.95" customHeight="1" x14ac:dyDescent="0.25">
      <c r="A5" s="5" t="s">
        <v>21</v>
      </c>
      <c r="B5" s="2"/>
    </row>
    <row r="6" spans="1:2" ht="21.95" customHeight="1" x14ac:dyDescent="0.25">
      <c r="A6" s="5" t="s">
        <v>22</v>
      </c>
      <c r="B6" s="2"/>
    </row>
    <row r="7" spans="1:2" ht="21.95" customHeight="1" x14ac:dyDescent="0.25">
      <c r="A7" s="36" t="s">
        <v>23</v>
      </c>
      <c r="B7" s="37"/>
    </row>
    <row r="8" spans="1:2" ht="21.95" customHeight="1" x14ac:dyDescent="0.25">
      <c r="A8" s="5" t="s">
        <v>24</v>
      </c>
      <c r="B8" s="2"/>
    </row>
    <row r="9" spans="1:2" ht="21.95" customHeight="1" x14ac:dyDescent="0.25">
      <c r="A9" s="5" t="s">
        <v>25</v>
      </c>
      <c r="B9" s="2"/>
    </row>
    <row r="10" spans="1:2" ht="21.95" customHeight="1" x14ac:dyDescent="0.25">
      <c r="A10" s="5" t="s">
        <v>26</v>
      </c>
      <c r="B10" s="2"/>
    </row>
    <row r="11" spans="1:2" ht="21.95" customHeight="1" x14ac:dyDescent="0.25">
      <c r="A11" s="5" t="s">
        <v>27</v>
      </c>
      <c r="B11" s="2"/>
    </row>
    <row r="12" spans="1:2" ht="21.95" customHeight="1" x14ac:dyDescent="0.25">
      <c r="A12" s="36" t="s">
        <v>28</v>
      </c>
      <c r="B12" s="37"/>
    </row>
    <row r="13" spans="1:2" ht="21.95" customHeight="1" x14ac:dyDescent="0.25">
      <c r="A13" s="5" t="s">
        <v>29</v>
      </c>
      <c r="B13" s="2"/>
    </row>
    <row r="14" spans="1:2" ht="21.95" customHeight="1" x14ac:dyDescent="0.25">
      <c r="A14" s="5" t="s">
        <v>30</v>
      </c>
      <c r="B14" s="2"/>
    </row>
    <row r="15" spans="1:2" ht="21.95" customHeight="1" x14ac:dyDescent="0.25">
      <c r="A15" s="5" t="s">
        <v>31</v>
      </c>
      <c r="B15" s="2"/>
    </row>
    <row r="16" spans="1:2" ht="21.95" customHeight="1" x14ac:dyDescent="0.25">
      <c r="A16" s="36" t="s">
        <v>32</v>
      </c>
      <c r="B16" s="37"/>
    </row>
    <row r="17" spans="1:2" ht="21.95" customHeight="1" x14ac:dyDescent="0.25">
      <c r="A17" s="5" t="s">
        <v>33</v>
      </c>
      <c r="B17" s="2"/>
    </row>
    <row r="18" spans="1:2" ht="21.95" customHeight="1" x14ac:dyDescent="0.25">
      <c r="A18" s="5" t="s">
        <v>34</v>
      </c>
      <c r="B18" s="2"/>
    </row>
    <row r="19" spans="1:2" ht="21.95" customHeight="1" x14ac:dyDescent="0.25">
      <c r="A19" s="5" t="s">
        <v>35</v>
      </c>
      <c r="B19" s="2"/>
    </row>
    <row r="20" spans="1:2" ht="21.95" customHeight="1" x14ac:dyDescent="0.25">
      <c r="A20" s="5" t="s">
        <v>36</v>
      </c>
      <c r="B20" s="2"/>
    </row>
    <row r="21" spans="1:2" ht="21.95" customHeight="1" x14ac:dyDescent="0.25">
      <c r="A21" s="5" t="s">
        <v>37</v>
      </c>
      <c r="B21" s="2"/>
    </row>
    <row r="22" spans="1:2" ht="21.95" customHeight="1" x14ac:dyDescent="0.25">
      <c r="A22" s="5" t="s">
        <v>38</v>
      </c>
      <c r="B22" s="2"/>
    </row>
    <row r="23" spans="1:2" ht="21.95" customHeight="1" x14ac:dyDescent="0.25">
      <c r="A23" s="36" t="s">
        <v>39</v>
      </c>
      <c r="B23" s="37"/>
    </row>
    <row r="24" spans="1:2" ht="21.95" customHeight="1" x14ac:dyDescent="0.25">
      <c r="A24" s="5" t="s">
        <v>40</v>
      </c>
      <c r="B24" s="2"/>
    </row>
    <row r="25" spans="1:2" ht="21.95" customHeight="1" x14ac:dyDescent="0.25">
      <c r="A25" s="5" t="s">
        <v>41</v>
      </c>
      <c r="B25" s="2"/>
    </row>
    <row r="26" spans="1:2" ht="21.95" customHeight="1" x14ac:dyDescent="0.25">
      <c r="A26" s="5" t="s">
        <v>42</v>
      </c>
      <c r="B26" s="2"/>
    </row>
    <row r="27" spans="1:2" ht="21.95" customHeight="1" x14ac:dyDescent="0.25">
      <c r="A27" s="5" t="s">
        <v>43</v>
      </c>
      <c r="B27" s="2"/>
    </row>
    <row r="28" spans="1:2" ht="21.95" customHeight="1" x14ac:dyDescent="0.25">
      <c r="A28" s="5" t="s">
        <v>44</v>
      </c>
      <c r="B28" s="2"/>
    </row>
  </sheetData>
  <mergeCells count="6">
    <mergeCell ref="A16:B16"/>
    <mergeCell ref="A2:B2"/>
    <mergeCell ref="A7:B7"/>
    <mergeCell ref="A1:B1"/>
    <mergeCell ref="A23:B23"/>
    <mergeCell ref="A12:B1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fdd9a14-7b84-416b-97e8-b834b0f98713}" enabled="1" method="Standard" siteId="{4a3d9983-e936-4837-9552-9d9126a92e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📋 Collecte Entretiens</vt:lpstr>
      <vt:lpstr>📝 Guide Entretien</vt:lpstr>
      <vt:lpstr>📊 Tableau de Bord</vt:lpstr>
      <vt:lpstr>🔍 Fiche Outil Détaillée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MOLIA, Andy</cp:lastModifiedBy>
  <cp:lastPrinted>2026-06-11T12:45:19Z</cp:lastPrinted>
  <dcterms:created xsi:type="dcterms:W3CDTF">2026-05-13T09:47:21Z</dcterms:created>
  <dcterms:modified xsi:type="dcterms:W3CDTF">2026-07-30T07:56:54Z</dcterms:modified>
</cp:coreProperties>
</file>